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 codeName="{22E68647-3C60-695B-3CA0-4895CD717B8A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medeo\fuse-angular\DB\"/>
    </mc:Choice>
  </mc:AlternateContent>
  <xr:revisionPtr revIDLastSave="0" documentId="13_ncr:40009_{C16800C5-3997-4629-8E2A-267F3D2755FB}" xr6:coauthVersionLast="40" xr6:coauthVersionMax="40" xr10:uidLastSave="{00000000-0000-0000-0000-000000000000}"/>
  <bookViews>
    <workbookView xWindow="0" yWindow="0" windowWidth="15345" windowHeight="3810" activeTab="1"/>
  </bookViews>
  <sheets>
    <sheet name="GeneraLambda" sheetId="1" r:id="rId1"/>
    <sheet name="Appendice" sheetId="2" r:id="rId2"/>
    <sheet name="QueryPerCampiTabella" sheetId="3" r:id="rId3"/>
  </sheets>
  <functionGroups builtInGroupCount="19"/>
  <calcPr calcId="0"/>
</workbook>
</file>

<file path=xl/calcChain.xml><?xml version="1.0" encoding="utf-8"?>
<calcChain xmlns="http://schemas.openxmlformats.org/spreadsheetml/2006/main">
  <c r="L5" i="2" l="1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4" i="2"/>
  <c r="L3" i="2"/>
  <c r="L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2" i="2"/>
  <c r="A2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P2" i="2"/>
  <c r="O2" i="2"/>
  <c r="O3" i="2"/>
  <c r="O4" i="2" s="1"/>
  <c r="N2" i="2"/>
  <c r="N3" i="2"/>
  <c r="N4" i="2"/>
  <c r="N5" i="2"/>
  <c r="N6" i="2"/>
  <c r="N7" i="2"/>
  <c r="N8" i="2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P3" i="2"/>
  <c r="T2" i="2"/>
  <c r="P4" i="2"/>
  <c r="T3" i="2"/>
  <c r="P5" i="2"/>
  <c r="T4" i="2"/>
  <c r="P6" i="2"/>
  <c r="T5" i="2"/>
  <c r="P7" i="2"/>
  <c r="T6" i="2"/>
  <c r="P8" i="2"/>
  <c r="T7" i="2"/>
  <c r="P9" i="2"/>
  <c r="T8" i="2"/>
  <c r="P10" i="2"/>
  <c r="T9" i="2"/>
  <c r="P11" i="2"/>
  <c r="T10" i="2"/>
  <c r="P12" i="2"/>
  <c r="T11" i="2"/>
  <c r="P13" i="2"/>
  <c r="T12" i="2"/>
  <c r="P14" i="2"/>
  <c r="T13" i="2"/>
  <c r="P15" i="2"/>
  <c r="T14" i="2"/>
  <c r="P16" i="2"/>
  <c r="T16" i="2" s="1"/>
  <c r="T15" i="2"/>
  <c r="P17" i="2"/>
  <c r="P18" i="2"/>
  <c r="T17" i="2"/>
  <c r="P19" i="2"/>
  <c r="T18" i="2"/>
  <c r="P20" i="2"/>
  <c r="T19" i="2"/>
  <c r="P21" i="2"/>
  <c r="T20" i="2"/>
  <c r="P22" i="2"/>
  <c r="T21" i="2"/>
  <c r="P23" i="2"/>
  <c r="T22" i="2"/>
  <c r="P24" i="2"/>
  <c r="T23" i="2"/>
  <c r="P25" i="2"/>
  <c r="T24" i="2"/>
  <c r="P26" i="2"/>
  <c r="T25" i="2"/>
  <c r="P27" i="2"/>
  <c r="T26" i="2"/>
  <c r="P28" i="2"/>
  <c r="T27" i="2"/>
  <c r="P29" i="2"/>
  <c r="T28" i="2"/>
  <c r="P30" i="2"/>
  <c r="T29" i="2"/>
  <c r="P31" i="2"/>
  <c r="T30" i="2"/>
  <c r="P32" i="2"/>
  <c r="T31" i="2"/>
  <c r="P33" i="2"/>
  <c r="T32" i="2"/>
  <c r="P34" i="2"/>
  <c r="T33" i="2"/>
  <c r="P35" i="2"/>
  <c r="T34" i="2"/>
  <c r="P36" i="2"/>
  <c r="T35" i="2"/>
  <c r="P37" i="2"/>
  <c r="T36" i="2"/>
  <c r="P38" i="2"/>
  <c r="T37" i="2"/>
  <c r="P39" i="2"/>
  <c r="T38" i="2"/>
  <c r="P40" i="2"/>
  <c r="T39" i="2"/>
  <c r="P41" i="2"/>
  <c r="T40" i="2"/>
  <c r="P42" i="2"/>
  <c r="T41" i="2"/>
  <c r="P43" i="2"/>
  <c r="T42" i="2"/>
  <c r="P44" i="2"/>
  <c r="T43" i="2"/>
  <c r="P45" i="2"/>
  <c r="T44" i="2"/>
  <c r="P46" i="2"/>
  <c r="T45" i="2"/>
  <c r="P47" i="2"/>
  <c r="T46" i="2"/>
  <c r="P48" i="2"/>
  <c r="T47" i="2"/>
  <c r="P49" i="2"/>
  <c r="T48" i="2"/>
  <c r="P50" i="2"/>
  <c r="T49" i="2"/>
  <c r="P51" i="2"/>
  <c r="T50" i="2"/>
  <c r="P52" i="2"/>
  <c r="T51" i="2"/>
  <c r="P53" i="2"/>
  <c r="T52" i="2"/>
  <c r="P54" i="2"/>
  <c r="T53" i="2"/>
  <c r="P55" i="2"/>
  <c r="T54" i="2"/>
  <c r="P56" i="2"/>
  <c r="T55" i="2"/>
  <c r="P57" i="2"/>
  <c r="T56" i="2"/>
  <c r="P58" i="2"/>
  <c r="T57" i="2"/>
  <c r="P59" i="2"/>
  <c r="T58" i="2"/>
  <c r="P60" i="2"/>
  <c r="T59" i="2"/>
  <c r="P61" i="2"/>
  <c r="T60" i="2"/>
  <c r="P62" i="2"/>
  <c r="T61" i="2"/>
  <c r="P63" i="2"/>
  <c r="T62" i="2"/>
  <c r="P64" i="2"/>
  <c r="T63" i="2"/>
  <c r="P65" i="2"/>
  <c r="T64" i="2"/>
  <c r="P66" i="2"/>
  <c r="T65" i="2"/>
  <c r="P67" i="2"/>
  <c r="T66" i="2"/>
  <c r="P68" i="2"/>
  <c r="T67" i="2"/>
  <c r="P69" i="2"/>
  <c r="T68" i="2"/>
  <c r="P70" i="2"/>
  <c r="T69" i="2"/>
  <c r="P71" i="2"/>
  <c r="T70" i="2"/>
  <c r="P72" i="2"/>
  <c r="T71" i="2"/>
  <c r="P73" i="2"/>
  <c r="T72" i="2"/>
  <c r="P74" i="2"/>
  <c r="T73" i="2"/>
  <c r="P75" i="2"/>
  <c r="T74" i="2"/>
  <c r="P76" i="2"/>
  <c r="T75" i="2"/>
  <c r="P77" i="2"/>
  <c r="T76" i="2"/>
  <c r="P78" i="2"/>
  <c r="T77" i="2"/>
  <c r="P79" i="2"/>
  <c r="T78" i="2"/>
  <c r="P80" i="2"/>
  <c r="T79" i="2"/>
  <c r="P81" i="2"/>
  <c r="T80" i="2"/>
  <c r="P82" i="2"/>
  <c r="T82" i="2" s="1"/>
  <c r="T81" i="2"/>
</calcChain>
</file>

<file path=xl/sharedStrings.xml><?xml version="1.0" encoding="utf-8"?>
<sst xmlns="http://schemas.openxmlformats.org/spreadsheetml/2006/main" count="786" uniqueCount="100">
  <si>
    <t>table_catalog</t>
  </si>
  <si>
    <t>table_schema</t>
  </si>
  <si>
    <t>table_name</t>
  </si>
  <si>
    <t>column_name</t>
  </si>
  <si>
    <t>ordinal_position</t>
  </si>
  <si>
    <t>column_default</t>
  </si>
  <si>
    <t>is_nullable</t>
  </si>
  <si>
    <t>data_type</t>
  </si>
  <si>
    <t>character_maximum_length</t>
  </si>
  <si>
    <t>character_octet_length</t>
  </si>
  <si>
    <t>numeric_precision</t>
  </si>
  <si>
    <t>numeric_precision_radix</t>
  </si>
  <si>
    <t>numeric_scale</t>
  </si>
  <si>
    <t>datetime_precision</t>
  </si>
  <si>
    <t>interval_type</t>
  </si>
  <si>
    <t>interval_precision</t>
  </si>
  <si>
    <t>character_set_catalog</t>
  </si>
  <si>
    <t>character_set_schema</t>
  </si>
  <si>
    <t>character_set_name</t>
  </si>
  <si>
    <t>collation_catalog</t>
  </si>
  <si>
    <t>collation_schema</t>
  </si>
  <si>
    <t>collation_name</t>
  </si>
  <si>
    <t>domain_catalog</t>
  </si>
  <si>
    <t>domain_schema</t>
  </si>
  <si>
    <t>domain_name</t>
  </si>
  <si>
    <t>udt_catalog</t>
  </si>
  <si>
    <t>udt_schema</t>
  </si>
  <si>
    <t>udt_name</t>
  </si>
  <si>
    <t>scope_catalog</t>
  </si>
  <si>
    <t>scope_schema</t>
  </si>
  <si>
    <t>scope_name</t>
  </si>
  <si>
    <t>maximum_cardinality</t>
  </si>
  <si>
    <t>dtd_identifier</t>
  </si>
  <si>
    <t>is_self_referencing</t>
  </si>
  <si>
    <t>is_identity</t>
  </si>
  <si>
    <t>identity_generation</t>
  </si>
  <si>
    <t>identity_start</t>
  </si>
  <si>
    <t>identity_increment</t>
  </si>
  <si>
    <t>identity_maximum</t>
  </si>
  <si>
    <t>identity_minimum</t>
  </si>
  <si>
    <t>identity_cycle</t>
  </si>
  <si>
    <t>is_generated</t>
  </si>
  <si>
    <t>generation_expression</t>
  </si>
  <si>
    <t>is_updatable</t>
  </si>
  <si>
    <t>cnx</t>
  </si>
  <si>
    <t>entrasp</t>
  </si>
  <si>
    <t>procedure_aziendali</t>
  </si>
  <si>
    <t>codice_azienda</t>
  </si>
  <si>
    <t>NO</t>
  </si>
  <si>
    <t>character varying</t>
  </si>
  <si>
    <t>pg_catalog</t>
  </si>
  <si>
    <t>varchar</t>
  </si>
  <si>
    <t>NEVER</t>
  </si>
  <si>
    <t>YES</t>
  </si>
  <si>
    <t>codice</t>
  </si>
  <si>
    <t>descrizione_breve</t>
  </si>
  <si>
    <t>id_procedura</t>
  </si>
  <si>
    <t>numeric</t>
  </si>
  <si>
    <t>id_procedura_parent</t>
  </si>
  <si>
    <t>ordinamento</t>
  </si>
  <si>
    <t>tree_path</t>
  </si>
  <si>
    <t>frequenza</t>
  </si>
  <si>
    <t>text</t>
  </si>
  <si>
    <t>strumento_informatico</t>
  </si>
  <si>
    <t>id_centro_gest</t>
  </si>
  <si>
    <t>codice_part</t>
  </si>
  <si>
    <t>descrizione</t>
  </si>
  <si>
    <t>tipo_procedura</t>
  </si>
  <si>
    <t>'0'::bpchar</t>
  </si>
  <si>
    <t>character</t>
  </si>
  <si>
    <t>bpchar</t>
  </si>
  <si>
    <t>stato_attuazione</t>
  </si>
  <si>
    <t>id_tipo_processo</t>
  </si>
  <si>
    <t>Nome campo</t>
  </si>
  <si>
    <t xml:space="preserve">      type</t>
  </si>
  <si>
    <t xml:space="preserve">      label</t>
  </si>
  <si>
    <t xml:space="preserve">      inputType</t>
  </si>
  <si>
    <t xml:space="preserve">      name</t>
  </si>
  <si>
    <t xml:space="preserve">      value</t>
  </si>
  <si>
    <t xml:space="preserve">      readonly</t>
  </si>
  <si>
    <t>isVisible</t>
  </si>
  <si>
    <t>newLine</t>
  </si>
  <si>
    <t>comboboxQuery</t>
  </si>
  <si>
    <t>varForm</t>
  </si>
  <si>
    <t>input</t>
  </si>
  <si>
    <t>false</t>
  </si>
  <si>
    <t>combobox</t>
  </si>
  <si>
    <t>true</t>
  </si>
  <si>
    <t>SELECT * 
   FROM information_schema.columns 
   WHERE table_name ='procedure_aziendali'</t>
  </si>
  <si>
    <t>validations</t>
  </si>
  <si>
    <t>validation1</t>
  </si>
  <si>
    <t>validation2</t>
  </si>
  <si>
    <t>queryString</t>
  </si>
  <si>
    <t>queryString_New</t>
  </si>
  <si>
    <t>queryString_element</t>
  </si>
  <si>
    <t>insertString</t>
  </si>
  <si>
    <t>deleteString</t>
  </si>
  <si>
    <t>ElencoCampi</t>
  </si>
  <si>
    <t>ElencoValori</t>
  </si>
  <si>
    <t>Indice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</si>
</sst>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R16"/>
  <sheetViews>
    <sheetView workbookViewId="0">
      <selection activeCell="H1" sqref="H1"/>
    </sheetView>
  </sheetViews>
  <sheetFormatPr defaultRowHeight="15" x14ac:dyDescent="0.25"/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5">
      <c r="A2" t="s">
        <v>44</v>
      </c>
      <c r="B2" t="s">
        <v>45</v>
      </c>
      <c r="C2" t="s">
        <v>46</v>
      </c>
      <c r="D2" t="s">
        <v>47</v>
      </c>
      <c r="E2">
        <v>1</v>
      </c>
      <c r="G2" t="s">
        <v>48</v>
      </c>
      <c r="H2" t="s">
        <v>49</v>
      </c>
      <c r="I2">
        <v>30</v>
      </c>
      <c r="J2">
        <v>120</v>
      </c>
      <c r="Z2" t="s">
        <v>44</v>
      </c>
      <c r="AA2" t="s">
        <v>50</v>
      </c>
      <c r="AB2" t="s">
        <v>51</v>
      </c>
      <c r="AG2">
        <v>1</v>
      </c>
      <c r="AH2" t="s">
        <v>48</v>
      </c>
      <c r="AI2" t="s">
        <v>48</v>
      </c>
      <c r="AP2" t="s">
        <v>52</v>
      </c>
      <c r="AR2" t="s">
        <v>53</v>
      </c>
    </row>
    <row r="3" spans="1:44" x14ac:dyDescent="0.25">
      <c r="A3" t="s">
        <v>44</v>
      </c>
      <c r="B3" t="s">
        <v>45</v>
      </c>
      <c r="C3" t="s">
        <v>46</v>
      </c>
      <c r="D3" t="s">
        <v>54</v>
      </c>
      <c r="E3">
        <v>2</v>
      </c>
      <c r="G3" t="s">
        <v>48</v>
      </c>
      <c r="H3" t="s">
        <v>49</v>
      </c>
      <c r="I3">
        <v>30</v>
      </c>
      <c r="J3">
        <v>120</v>
      </c>
      <c r="Z3" t="s">
        <v>44</v>
      </c>
      <c r="AA3" t="s">
        <v>50</v>
      </c>
      <c r="AB3" t="s">
        <v>51</v>
      </c>
      <c r="AG3">
        <v>2</v>
      </c>
      <c r="AH3" t="s">
        <v>48</v>
      </c>
      <c r="AI3" t="s">
        <v>48</v>
      </c>
      <c r="AP3" t="s">
        <v>52</v>
      </c>
      <c r="AR3" t="s">
        <v>53</v>
      </c>
    </row>
    <row r="4" spans="1:44" x14ac:dyDescent="0.25">
      <c r="A4" t="s">
        <v>44</v>
      </c>
      <c r="B4" t="s">
        <v>45</v>
      </c>
      <c r="C4" t="s">
        <v>46</v>
      </c>
      <c r="D4" t="s">
        <v>55</v>
      </c>
      <c r="E4">
        <v>3</v>
      </c>
      <c r="G4" t="s">
        <v>48</v>
      </c>
      <c r="H4" t="s">
        <v>49</v>
      </c>
      <c r="I4">
        <v>240</v>
      </c>
      <c r="J4">
        <v>960</v>
      </c>
      <c r="Z4" t="s">
        <v>44</v>
      </c>
      <c r="AA4" t="s">
        <v>50</v>
      </c>
      <c r="AB4" t="s">
        <v>51</v>
      </c>
      <c r="AG4">
        <v>3</v>
      </c>
      <c r="AH4" t="s">
        <v>48</v>
      </c>
      <c r="AI4" t="s">
        <v>48</v>
      </c>
      <c r="AP4" t="s">
        <v>52</v>
      </c>
      <c r="AR4" t="s">
        <v>53</v>
      </c>
    </row>
    <row r="5" spans="1:44" x14ac:dyDescent="0.25">
      <c r="A5" t="s">
        <v>44</v>
      </c>
      <c r="B5" t="s">
        <v>45</v>
      </c>
      <c r="C5" t="s">
        <v>46</v>
      </c>
      <c r="D5" t="s">
        <v>56</v>
      </c>
      <c r="E5">
        <v>4</v>
      </c>
      <c r="G5" t="s">
        <v>48</v>
      </c>
      <c r="H5" t="s">
        <v>57</v>
      </c>
      <c r="K5">
        <v>12</v>
      </c>
      <c r="L5">
        <v>10</v>
      </c>
      <c r="M5">
        <v>0</v>
      </c>
      <c r="Z5" t="s">
        <v>44</v>
      </c>
      <c r="AA5" t="s">
        <v>50</v>
      </c>
      <c r="AB5" t="s">
        <v>57</v>
      </c>
      <c r="AG5">
        <v>4</v>
      </c>
      <c r="AH5" t="s">
        <v>48</v>
      </c>
      <c r="AI5" t="s">
        <v>48</v>
      </c>
      <c r="AP5" t="s">
        <v>52</v>
      </c>
      <c r="AR5" t="s">
        <v>53</v>
      </c>
    </row>
    <row r="6" spans="1:44" x14ac:dyDescent="0.25">
      <c r="A6" t="s">
        <v>44</v>
      </c>
      <c r="B6" t="s">
        <v>45</v>
      </c>
      <c r="C6" t="s">
        <v>46</v>
      </c>
      <c r="D6" t="s">
        <v>58</v>
      </c>
      <c r="E6">
        <v>5</v>
      </c>
      <c r="G6" t="s">
        <v>53</v>
      </c>
      <c r="H6" t="s">
        <v>57</v>
      </c>
      <c r="K6">
        <v>12</v>
      </c>
      <c r="L6">
        <v>10</v>
      </c>
      <c r="M6">
        <v>0</v>
      </c>
      <c r="Z6" t="s">
        <v>44</v>
      </c>
      <c r="AA6" t="s">
        <v>50</v>
      </c>
      <c r="AB6" t="s">
        <v>57</v>
      </c>
      <c r="AG6">
        <v>5</v>
      </c>
      <c r="AH6" t="s">
        <v>48</v>
      </c>
      <c r="AI6" t="s">
        <v>48</v>
      </c>
      <c r="AP6" t="s">
        <v>52</v>
      </c>
      <c r="AR6" t="s">
        <v>53</v>
      </c>
    </row>
    <row r="7" spans="1:44" x14ac:dyDescent="0.25">
      <c r="A7" t="s">
        <v>44</v>
      </c>
      <c r="B7" t="s">
        <v>45</v>
      </c>
      <c r="C7" t="s">
        <v>46</v>
      </c>
      <c r="D7" t="s">
        <v>59</v>
      </c>
      <c r="E7">
        <v>6</v>
      </c>
      <c r="G7" t="s">
        <v>53</v>
      </c>
      <c r="H7" t="s">
        <v>57</v>
      </c>
      <c r="K7">
        <v>3</v>
      </c>
      <c r="L7">
        <v>10</v>
      </c>
      <c r="M7">
        <v>0</v>
      </c>
      <c r="Z7" t="s">
        <v>44</v>
      </c>
      <c r="AA7" t="s">
        <v>50</v>
      </c>
      <c r="AB7" t="s">
        <v>57</v>
      </c>
      <c r="AG7">
        <v>6</v>
      </c>
      <c r="AH7" t="s">
        <v>48</v>
      </c>
      <c r="AI7" t="s">
        <v>48</v>
      </c>
      <c r="AP7" t="s">
        <v>52</v>
      </c>
      <c r="AR7" t="s">
        <v>53</v>
      </c>
    </row>
    <row r="8" spans="1:44" x14ac:dyDescent="0.25">
      <c r="A8" t="s">
        <v>44</v>
      </c>
      <c r="B8" t="s">
        <v>45</v>
      </c>
      <c r="C8" t="s">
        <v>46</v>
      </c>
      <c r="D8" t="s">
        <v>60</v>
      </c>
      <c r="E8">
        <v>7</v>
      </c>
      <c r="G8" t="s">
        <v>53</v>
      </c>
      <c r="H8" t="s">
        <v>49</v>
      </c>
      <c r="I8">
        <v>100</v>
      </c>
      <c r="J8">
        <v>400</v>
      </c>
      <c r="Z8" t="s">
        <v>44</v>
      </c>
      <c r="AA8" t="s">
        <v>50</v>
      </c>
      <c r="AB8" t="s">
        <v>51</v>
      </c>
      <c r="AG8">
        <v>7</v>
      </c>
      <c r="AH8" t="s">
        <v>48</v>
      </c>
      <c r="AI8" t="s">
        <v>48</v>
      </c>
      <c r="AP8" t="s">
        <v>52</v>
      </c>
      <c r="AR8" t="s">
        <v>53</v>
      </c>
    </row>
    <row r="9" spans="1:44" x14ac:dyDescent="0.25">
      <c r="A9" t="s">
        <v>44</v>
      </c>
      <c r="B9" t="s">
        <v>45</v>
      </c>
      <c r="C9" t="s">
        <v>46</v>
      </c>
      <c r="D9" t="s">
        <v>61</v>
      </c>
      <c r="E9">
        <v>8</v>
      </c>
      <c r="G9" t="s">
        <v>53</v>
      </c>
      <c r="H9" t="s">
        <v>62</v>
      </c>
      <c r="J9">
        <v>1073741824</v>
      </c>
      <c r="Z9" t="s">
        <v>44</v>
      </c>
      <c r="AA9" t="s">
        <v>50</v>
      </c>
      <c r="AB9" t="s">
        <v>62</v>
      </c>
      <c r="AG9">
        <v>8</v>
      </c>
      <c r="AH9" t="s">
        <v>48</v>
      </c>
      <c r="AI9" t="s">
        <v>48</v>
      </c>
      <c r="AP9" t="s">
        <v>52</v>
      </c>
      <c r="AR9" t="s">
        <v>53</v>
      </c>
    </row>
    <row r="10" spans="1:44" x14ac:dyDescent="0.25">
      <c r="A10" t="s">
        <v>44</v>
      </c>
      <c r="B10" t="s">
        <v>45</v>
      </c>
      <c r="C10" t="s">
        <v>46</v>
      </c>
      <c r="D10" t="s">
        <v>63</v>
      </c>
      <c r="E10">
        <v>9</v>
      </c>
      <c r="G10" t="s">
        <v>53</v>
      </c>
      <c r="H10" t="s">
        <v>62</v>
      </c>
      <c r="J10">
        <v>1073741824</v>
      </c>
      <c r="Z10" t="s">
        <v>44</v>
      </c>
      <c r="AA10" t="s">
        <v>50</v>
      </c>
      <c r="AB10" t="s">
        <v>62</v>
      </c>
      <c r="AG10">
        <v>9</v>
      </c>
      <c r="AH10" t="s">
        <v>48</v>
      </c>
      <c r="AI10" t="s">
        <v>48</v>
      </c>
      <c r="AP10" t="s">
        <v>52</v>
      </c>
      <c r="AR10" t="s">
        <v>53</v>
      </c>
    </row>
    <row r="11" spans="1:44" x14ac:dyDescent="0.25">
      <c r="A11" t="s">
        <v>44</v>
      </c>
      <c r="B11" t="s">
        <v>45</v>
      </c>
      <c r="C11" t="s">
        <v>46</v>
      </c>
      <c r="D11" t="s">
        <v>64</v>
      </c>
      <c r="E11">
        <v>10</v>
      </c>
      <c r="G11" t="s">
        <v>53</v>
      </c>
      <c r="H11" t="s">
        <v>57</v>
      </c>
      <c r="K11">
        <v>12</v>
      </c>
      <c r="L11">
        <v>10</v>
      </c>
      <c r="M11">
        <v>0</v>
      </c>
      <c r="Z11" t="s">
        <v>44</v>
      </c>
      <c r="AA11" t="s">
        <v>50</v>
      </c>
      <c r="AB11" t="s">
        <v>57</v>
      </c>
      <c r="AG11">
        <v>10</v>
      </c>
      <c r="AH11" t="s">
        <v>48</v>
      </c>
      <c r="AI11" t="s">
        <v>48</v>
      </c>
      <c r="AP11" t="s">
        <v>52</v>
      </c>
      <c r="AR11" t="s">
        <v>53</v>
      </c>
    </row>
    <row r="12" spans="1:44" x14ac:dyDescent="0.25">
      <c r="A12" t="s">
        <v>44</v>
      </c>
      <c r="B12" t="s">
        <v>45</v>
      </c>
      <c r="C12" t="s">
        <v>46</v>
      </c>
      <c r="D12" t="s">
        <v>65</v>
      </c>
      <c r="E12">
        <v>11</v>
      </c>
      <c r="G12" t="s">
        <v>53</v>
      </c>
      <c r="H12" t="s">
        <v>49</v>
      </c>
      <c r="I12">
        <v>20</v>
      </c>
      <c r="J12">
        <v>80</v>
      </c>
      <c r="Z12" t="s">
        <v>44</v>
      </c>
      <c r="AA12" t="s">
        <v>50</v>
      </c>
      <c r="AB12" t="s">
        <v>51</v>
      </c>
      <c r="AG12">
        <v>11</v>
      </c>
      <c r="AH12" t="s">
        <v>48</v>
      </c>
      <c r="AI12" t="s">
        <v>48</v>
      </c>
      <c r="AP12" t="s">
        <v>52</v>
      </c>
      <c r="AR12" t="s">
        <v>53</v>
      </c>
    </row>
    <row r="13" spans="1:44" x14ac:dyDescent="0.25">
      <c r="A13" t="s">
        <v>44</v>
      </c>
      <c r="B13" t="s">
        <v>45</v>
      </c>
      <c r="C13" t="s">
        <v>46</v>
      </c>
      <c r="D13" t="s">
        <v>66</v>
      </c>
      <c r="E13">
        <v>12</v>
      </c>
      <c r="G13" t="s">
        <v>53</v>
      </c>
      <c r="H13" t="s">
        <v>62</v>
      </c>
      <c r="J13">
        <v>1073741824</v>
      </c>
      <c r="Z13" t="s">
        <v>44</v>
      </c>
      <c r="AA13" t="s">
        <v>50</v>
      </c>
      <c r="AB13" t="s">
        <v>62</v>
      </c>
      <c r="AG13">
        <v>12</v>
      </c>
      <c r="AH13" t="s">
        <v>48</v>
      </c>
      <c r="AI13" t="s">
        <v>48</v>
      </c>
      <c r="AP13" t="s">
        <v>52</v>
      </c>
      <c r="AR13" t="s">
        <v>53</v>
      </c>
    </row>
    <row r="14" spans="1:44" x14ac:dyDescent="0.25">
      <c r="A14" t="s">
        <v>44</v>
      </c>
      <c r="B14" t="s">
        <v>45</v>
      </c>
      <c r="C14" t="s">
        <v>46</v>
      </c>
      <c r="D14" t="s">
        <v>67</v>
      </c>
      <c r="E14">
        <v>13</v>
      </c>
      <c r="F14" t="s">
        <v>68</v>
      </c>
      <c r="G14" t="s">
        <v>48</v>
      </c>
      <c r="H14" t="s">
        <v>69</v>
      </c>
      <c r="I14">
        <v>1</v>
      </c>
      <c r="J14">
        <v>4</v>
      </c>
      <c r="Z14" t="s">
        <v>44</v>
      </c>
      <c r="AA14" t="s">
        <v>50</v>
      </c>
      <c r="AB14" t="s">
        <v>70</v>
      </c>
      <c r="AG14">
        <v>13</v>
      </c>
      <c r="AH14" t="s">
        <v>48</v>
      </c>
      <c r="AI14" t="s">
        <v>48</v>
      </c>
      <c r="AP14" t="s">
        <v>52</v>
      </c>
      <c r="AR14" t="s">
        <v>53</v>
      </c>
    </row>
    <row r="15" spans="1:44" x14ac:dyDescent="0.25">
      <c r="A15" t="s">
        <v>44</v>
      </c>
      <c r="B15" t="s">
        <v>45</v>
      </c>
      <c r="C15" t="s">
        <v>46</v>
      </c>
      <c r="D15" t="s">
        <v>71</v>
      </c>
      <c r="E15">
        <v>14</v>
      </c>
      <c r="G15" t="s">
        <v>53</v>
      </c>
      <c r="H15" t="s">
        <v>69</v>
      </c>
      <c r="I15">
        <v>1</v>
      </c>
      <c r="J15">
        <v>4</v>
      </c>
      <c r="Z15" t="s">
        <v>44</v>
      </c>
      <c r="AA15" t="s">
        <v>50</v>
      </c>
      <c r="AB15" t="s">
        <v>70</v>
      </c>
      <c r="AG15">
        <v>14</v>
      </c>
      <c r="AH15" t="s">
        <v>48</v>
      </c>
      <c r="AI15" t="s">
        <v>48</v>
      </c>
      <c r="AP15" t="s">
        <v>52</v>
      </c>
      <c r="AR15" t="s">
        <v>53</v>
      </c>
    </row>
    <row r="16" spans="1:44" x14ac:dyDescent="0.25">
      <c r="A16" t="s">
        <v>44</v>
      </c>
      <c r="B16" t="s">
        <v>45</v>
      </c>
      <c r="C16" t="s">
        <v>46</v>
      </c>
      <c r="D16" t="s">
        <v>72</v>
      </c>
      <c r="E16">
        <v>15</v>
      </c>
      <c r="G16" t="s">
        <v>53</v>
      </c>
      <c r="H16" t="s">
        <v>57</v>
      </c>
      <c r="K16">
        <v>12</v>
      </c>
      <c r="L16">
        <v>10</v>
      </c>
      <c r="M16">
        <v>0</v>
      </c>
      <c r="Z16" t="s">
        <v>44</v>
      </c>
      <c r="AA16" t="s">
        <v>50</v>
      </c>
      <c r="AB16" t="s">
        <v>57</v>
      </c>
      <c r="AG16">
        <v>15</v>
      </c>
      <c r="AH16" t="s">
        <v>48</v>
      </c>
      <c r="AI16" t="s">
        <v>48</v>
      </c>
      <c r="AP16" t="s">
        <v>52</v>
      </c>
      <c r="AR16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U213"/>
  <sheetViews>
    <sheetView tabSelected="1" topLeftCell="L1" workbookViewId="0">
      <selection activeCell="T16" sqref="T16"/>
    </sheetView>
  </sheetViews>
  <sheetFormatPr defaultRowHeight="17.25" customHeight="1" x14ac:dyDescent="0.25"/>
  <cols>
    <col min="1" max="1" width="22" bestFit="1" customWidth="1"/>
    <col min="3" max="3" width="22" bestFit="1" customWidth="1"/>
    <col min="5" max="5" width="22" bestFit="1" customWidth="1"/>
    <col min="7" max="7" width="11.42578125" bestFit="1" customWidth="1"/>
    <col min="10" max="12" width="15.28515625" customWidth="1"/>
    <col min="13" max="13" width="15.85546875" bestFit="1" customWidth="1"/>
    <col min="14" max="16" width="25.5703125" style="1" customWidth="1"/>
    <col min="17" max="17" width="11.28515625" style="1" bestFit="1" customWidth="1"/>
    <col min="18" max="18" width="16.5703125" style="1" bestFit="1" customWidth="1"/>
    <col min="19" max="19" width="20.140625" style="1" bestFit="1" customWidth="1"/>
    <col min="20" max="20" width="11.28515625" bestFit="1" customWidth="1"/>
  </cols>
  <sheetData>
    <row r="1" spans="1:21" ht="17.25" customHeight="1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89</v>
      </c>
      <c r="K1" t="s">
        <v>99</v>
      </c>
      <c r="L1" t="s">
        <v>7</v>
      </c>
      <c r="M1" t="s">
        <v>82</v>
      </c>
      <c r="N1" s="2" t="s">
        <v>83</v>
      </c>
      <c r="O1" s="2" t="s">
        <v>97</v>
      </c>
      <c r="P1" s="2" t="s">
        <v>98</v>
      </c>
      <c r="Q1" s="2" t="s">
        <v>92</v>
      </c>
      <c r="R1" s="2" t="s">
        <v>93</v>
      </c>
      <c r="S1" s="2" t="s">
        <v>94</v>
      </c>
      <c r="T1" s="2" t="s">
        <v>95</v>
      </c>
      <c r="U1" s="2" t="s">
        <v>96</v>
      </c>
    </row>
    <row r="2" spans="1:21" ht="17.25" customHeight="1" x14ac:dyDescent="0.25">
      <c r="A2" t="str">
        <f>GeneraLambda!D2</f>
        <v>codice_azienda</v>
      </c>
      <c r="B2" t="s">
        <v>84</v>
      </c>
      <c r="C2" t="s">
        <v>47</v>
      </c>
      <c r="D2" t="s">
        <v>62</v>
      </c>
      <c r="E2" t="str">
        <f>GeneraLambda!D2</f>
        <v>codice_azienda</v>
      </c>
      <c r="F2" s="3"/>
      <c r="G2" t="s">
        <v>87</v>
      </c>
      <c r="H2" t="s">
        <v>85</v>
      </c>
      <c r="I2" t="s">
        <v>87</v>
      </c>
      <c r="J2" t="s">
        <v>85</v>
      </c>
      <c r="K2" t="s">
        <v>85</v>
      </c>
      <c r="L2" t="str">
        <f>GeneraLambda!H2</f>
        <v>character varying</v>
      </c>
      <c r="N2" s="2" t="str">
        <f>varform(A2, B2, C2, D2, E2, F2, G2, H2, I2,J2)</f>
        <v>{type: 'input',_x000D_ label: 'codice_azienda',_x000D_ inputType: 'text',_x000D_ name: 'codice_azienda',_x000D_ value: '',_x000D_ readonly: 'true',_x000D_ isVisible: 'false',_x000D_ newLine: 'true'_x000D_}</v>
      </c>
      <c r="O2" s="2" t="str">
        <f>elencocampi(A2,K2,L3)</f>
        <v xml:space="preserve">codice_azienda, </v>
      </c>
      <c r="P2" s="2" t="str">
        <f>elencovalori(A2,K2,L3,L2)</f>
        <v xml:space="preserve">${body['codice_azienda'], </v>
      </c>
      <c r="Q2" s="2"/>
      <c r="R2" s="2"/>
      <c r="S2" s="2"/>
      <c r="T2" t="str">
        <f>insertString(Appendice!C2,O2,P2,$E$5)</f>
        <v>`INSERT INTO entrasp.codice_azienda_x000D_(codice_azienda, )_x000D_Values_x000D_(${body['codice_azienda'], )_x000D_RETURNING id_procedura;`</v>
      </c>
    </row>
    <row r="3" spans="1:21" ht="17.25" customHeight="1" x14ac:dyDescent="0.25">
      <c r="A3" t="str">
        <f>GeneraLambda!D3</f>
        <v>codice</v>
      </c>
      <c r="B3" t="s">
        <v>84</v>
      </c>
      <c r="C3" t="s">
        <v>54</v>
      </c>
      <c r="D3" t="s">
        <v>62</v>
      </c>
      <c r="E3" t="str">
        <f>GeneraLambda!D3</f>
        <v>codice</v>
      </c>
      <c r="G3" t="s">
        <v>85</v>
      </c>
      <c r="H3" t="s">
        <v>87</v>
      </c>
      <c r="I3" t="s">
        <v>87</v>
      </c>
      <c r="J3" s="4" t="s">
        <v>90</v>
      </c>
      <c r="K3" t="s">
        <v>85</v>
      </c>
      <c r="L3" t="str">
        <f>GeneraLambda!H3</f>
        <v>character varying</v>
      </c>
      <c r="N3" s="2" t="str">
        <f>N2&amp;","&amp;CHAR(10)&amp;varform(A3,B3,C3,D3,E3,F3,G3,H3,I3,J3)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</v>
      </c>
      <c r="O3" s="2" t="str">
        <f>O2&amp;elencocampi(A3,K3,L4)</f>
        <v xml:space="preserve">codice_azienda, codice, </v>
      </c>
      <c r="P3" s="2" t="str">
        <f>P2&amp;elencovalori(A3,K3,L4,L3)</f>
        <v xml:space="preserve">${body['codice_azienda'], ${body['codice'], </v>
      </c>
      <c r="Q3" s="2"/>
      <c r="R3" s="2"/>
      <c r="S3" s="2"/>
      <c r="T3" t="str">
        <f>insertString(Appendice!C3,O3,P3,$E$5)</f>
        <v>`INSERT INTO entrasp.codice_x000D_(codice_azienda, codice, )_x000D_Values_x000D_(${body['codice_azienda'], ${body['codice'], )_x000D_RETURNING id_procedura;`</v>
      </c>
    </row>
    <row r="4" spans="1:21" ht="17.25" customHeight="1" x14ac:dyDescent="0.25">
      <c r="A4" t="str">
        <f>GeneraLambda!D4</f>
        <v>descrizione_breve</v>
      </c>
      <c r="B4" t="s">
        <v>84</v>
      </c>
      <c r="C4" t="s">
        <v>55</v>
      </c>
      <c r="D4" t="s">
        <v>62</v>
      </c>
      <c r="E4" t="str">
        <f>GeneraLambda!D4</f>
        <v>descrizione_breve</v>
      </c>
      <c r="G4" t="s">
        <v>85</v>
      </c>
      <c r="H4" t="s">
        <v>87</v>
      </c>
      <c r="I4" t="s">
        <v>87</v>
      </c>
      <c r="J4" s="4" t="s">
        <v>91</v>
      </c>
      <c r="K4" t="s">
        <v>85</v>
      </c>
      <c r="L4" t="str">
        <f>GeneraLambda!H4</f>
        <v>character varying</v>
      </c>
      <c r="N4" s="2" t="str">
        <f>N3&amp;","&amp;CHAR(10)&amp;varform(A4,B4,C4,D4,E4,F4,G4,H4,I4,J4)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</v>
      </c>
      <c r="O4" s="2" t="str">
        <f t="shared" ref="O4:O67" si="0">O3&amp;elencocampi(A4,K4,L5)</f>
        <v xml:space="preserve">codice_azienda, codice, descrizione_breve, </v>
      </c>
      <c r="P4" s="2" t="str">
        <f>P3&amp;elencovalori(A4,K4,L5,L4)</f>
        <v xml:space="preserve">${body['codice_azienda'], ${body['codice'], ${body['descrizione_breve'], </v>
      </c>
      <c r="Q4" s="2"/>
      <c r="R4" s="2"/>
      <c r="S4" s="2"/>
      <c r="T4" t="str">
        <f>insertString(Appendice!C4,O4,P4,$E$5)</f>
        <v>`INSERT INTO entrasp.descrizione_breve_x000D_(codice_azienda, codice, descrizione_breve, )_x000D_Values_x000D_(${body['codice_azienda'], ${body['codice'], ${body['descrizione_breve'], )_x000D_RETURNING id_procedura;`</v>
      </c>
    </row>
    <row r="5" spans="1:21" ht="17.25" customHeight="1" x14ac:dyDescent="0.25">
      <c r="A5" t="str">
        <f>GeneraLambda!D5</f>
        <v>id_procedura</v>
      </c>
      <c r="B5" t="s">
        <v>84</v>
      </c>
      <c r="C5" t="s">
        <v>56</v>
      </c>
      <c r="D5" t="s">
        <v>62</v>
      </c>
      <c r="E5" t="str">
        <f>GeneraLambda!D5</f>
        <v>id_procedura</v>
      </c>
      <c r="G5" t="s">
        <v>87</v>
      </c>
      <c r="H5" t="s">
        <v>87</v>
      </c>
      <c r="I5" t="s">
        <v>87</v>
      </c>
      <c r="J5" t="s">
        <v>85</v>
      </c>
      <c r="K5" t="s">
        <v>87</v>
      </c>
      <c r="L5" t="str">
        <f>GeneraLambda!H5</f>
        <v>numeric</v>
      </c>
      <c r="N5" s="2" t="str">
        <f>N4&amp;","&amp;CHAR(10)&amp;varform(A5,B5,C5,D5,E5,F5,G5,H5,I5,J5)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</v>
      </c>
      <c r="O5" s="2" t="str">
        <f t="shared" si="0"/>
        <v xml:space="preserve">codice_azienda, codice, descrizione_breve, </v>
      </c>
      <c r="P5" s="2" t="str">
        <f>P4&amp;elencovalori(A5,K5,L6,L5)</f>
        <v xml:space="preserve">${body['codice_azienda'], ${body['codice'], ${body['descrizione_breve'], </v>
      </c>
      <c r="Q5" s="2"/>
      <c r="R5" s="2"/>
      <c r="S5" s="2"/>
      <c r="T5" t="str">
        <f>insertString(Appendice!C5,O5,P5,$E$5)</f>
        <v>`INSERT INTO entrasp.id_procedura_x000D_(codice_azienda, codice, descrizione_breve, )_x000D_Values_x000D_(${body['codice_azienda'], ${body['codice'], ${body['descrizione_breve'], )_x000D_RETURNING id_procedura;`</v>
      </c>
    </row>
    <row r="6" spans="1:21" ht="17.25" customHeight="1" x14ac:dyDescent="0.25">
      <c r="A6" t="str">
        <f>GeneraLambda!D6</f>
        <v>id_procedura_parent</v>
      </c>
      <c r="B6" t="s">
        <v>86</v>
      </c>
      <c r="C6" t="s">
        <v>58</v>
      </c>
      <c r="D6" t="s">
        <v>62</v>
      </c>
      <c r="E6" t="str">
        <f>GeneraLambda!D6</f>
        <v>id_procedura_parent</v>
      </c>
      <c r="G6" t="s">
        <v>85</v>
      </c>
      <c r="H6" t="s">
        <v>87</v>
      </c>
      <c r="I6" t="s">
        <v>87</v>
      </c>
      <c r="J6" t="s">
        <v>85</v>
      </c>
      <c r="K6" t="s">
        <v>85</v>
      </c>
      <c r="L6" t="str">
        <f>GeneraLambda!H6</f>
        <v>numeric</v>
      </c>
      <c r="N6" s="2" t="str">
        <f>N5&amp;","&amp;CHAR(10)&amp;varform(A6,B6,C6,D6,E6,F6,G6,H6,I6,J6)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</v>
      </c>
      <c r="O6" s="2" t="str">
        <f t="shared" si="0"/>
        <v xml:space="preserve">codice_azienda, codice, descrizione_breve, id_procedura_parent, </v>
      </c>
      <c r="P6" s="2" t="str">
        <f>P5&amp;elencovalori(A6,K6,L7,L6)</f>
        <v xml:space="preserve">${body['codice_azienda'], ${body['codice'], ${body['descrizione_breve'], ${body[id_procedura_parent], </v>
      </c>
      <c r="Q6" s="2"/>
      <c r="R6" s="2"/>
      <c r="S6" s="2"/>
      <c r="T6" t="str">
        <f>insertString(Appendice!C6,O6,P6,$E$5)</f>
        <v>`INSERT INTO entrasp.id_procedura_parent_x000D_(codice_azienda, codice, descrizione_breve, id_procedura_parent, )_x000D_Values_x000D_(${body['codice_azienda'], ${body['codice'], ${body['descrizione_breve'], ${body[id_procedura_parent], )_x000D_RETURNING id_procedura;`</v>
      </c>
    </row>
    <row r="7" spans="1:21" ht="17.25" customHeight="1" x14ac:dyDescent="0.25">
      <c r="A7" t="str">
        <f>GeneraLambda!D7</f>
        <v>ordinamento</v>
      </c>
      <c r="B7" t="s">
        <v>84</v>
      </c>
      <c r="C7" t="s">
        <v>59</v>
      </c>
      <c r="D7" t="s">
        <v>62</v>
      </c>
      <c r="E7" t="str">
        <f>GeneraLambda!D7</f>
        <v>ordinamento</v>
      </c>
      <c r="G7" t="s">
        <v>85</v>
      </c>
      <c r="H7" t="s">
        <v>87</v>
      </c>
      <c r="I7" t="s">
        <v>87</v>
      </c>
      <c r="J7" t="s">
        <v>85</v>
      </c>
      <c r="K7" t="s">
        <v>85</v>
      </c>
      <c r="L7" t="str">
        <f>GeneraLambda!H7</f>
        <v>numeric</v>
      </c>
      <c r="N7" s="2" t="str">
        <f>N6&amp;","&amp;CHAR(10)&amp;varform(A7,B7,C7,D7,E7,F7,G7,H7,I7,J7)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</v>
      </c>
      <c r="O7" s="2" t="str">
        <f t="shared" si="0"/>
        <v xml:space="preserve">codice_azienda, codice, descrizione_breve, id_procedura_parent, ordinamento, </v>
      </c>
      <c r="P7" s="2" t="str">
        <f>P6&amp;elencovalori(A7,K7,L8,L7)</f>
        <v xml:space="preserve">${body['codice_azienda'], ${body['codice'], ${body['descrizione_breve'], ${body[id_procedura_parent], ${body[ordinamento], </v>
      </c>
      <c r="Q7" s="2"/>
      <c r="R7" s="2"/>
      <c r="S7" s="2"/>
      <c r="T7" t="str">
        <f>insertString(Appendice!C7,O7,P7,$E$5)</f>
        <v>`INSERT INTO entrasp.ordinamento_x000D_(codice_azienda, codice, descrizione_breve, id_procedura_parent, ordinamento, )_x000D_Values_x000D_(${body['codice_azienda'], ${body['codice'], ${body['descrizione_breve'], ${body[id_procedura_parent], ${body[ordinamento], )_x000D_RETURNING id_procedura;`</v>
      </c>
    </row>
    <row r="8" spans="1:21" ht="17.25" customHeight="1" x14ac:dyDescent="0.25">
      <c r="A8" t="str">
        <f>GeneraLambda!D8</f>
        <v>tree_path</v>
      </c>
      <c r="B8" t="s">
        <v>84</v>
      </c>
      <c r="C8" t="s">
        <v>60</v>
      </c>
      <c r="D8" t="s">
        <v>62</v>
      </c>
      <c r="E8" t="str">
        <f>GeneraLambda!D8</f>
        <v>tree_path</v>
      </c>
      <c r="G8" t="s">
        <v>85</v>
      </c>
      <c r="H8" t="s">
        <v>87</v>
      </c>
      <c r="I8" t="s">
        <v>87</v>
      </c>
      <c r="J8" t="s">
        <v>85</v>
      </c>
      <c r="K8" t="s">
        <v>85</v>
      </c>
      <c r="L8" t="str">
        <f>GeneraLambda!H8</f>
        <v>character varying</v>
      </c>
      <c r="N8" s="2" t="str">
        <f>N7&amp;","&amp;CHAR(10)&amp;varform(A8,B8,C8,D8,E8,F8,G8,H8,I8,J8)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</v>
      </c>
      <c r="O8" s="2" t="str">
        <f t="shared" si="0"/>
        <v xml:space="preserve">codice_azienda, codice, descrizione_breve, id_procedura_parent, ordinamento, tree_path, </v>
      </c>
      <c r="P8" s="2" t="str">
        <f>P7&amp;elencovalori(A8,K8,L9,L8)</f>
        <v xml:space="preserve">${body['codice_azienda'], ${body['codice'], ${body['descrizione_breve'], ${body[id_procedura_parent], ${body[ordinamento], ${body['tree_path'], </v>
      </c>
      <c r="Q8" s="2"/>
      <c r="R8" s="2"/>
      <c r="S8" s="2"/>
      <c r="T8" t="str">
        <f>insertString(Appendice!C8,O8,P8,$E$5)</f>
        <v>`INSERT INTO entrasp.tree_path_x000D_(codice_azienda, codice, descrizione_breve, id_procedura_parent, ordinamento, tree_path, )_x000D_Values_x000D_(${body['codice_azienda'], ${body['codice'], ${body['descrizione_breve'], ${body[id_procedura_parent], ${body[ordinamento], ${body['tree_path'], )_x000D_RETURNING id_procedura;`</v>
      </c>
    </row>
    <row r="9" spans="1:21" ht="17.25" customHeight="1" x14ac:dyDescent="0.25">
      <c r="A9" t="str">
        <f>GeneraLambda!D9</f>
        <v>frequenza</v>
      </c>
      <c r="B9" t="s">
        <v>84</v>
      </c>
      <c r="C9" t="s">
        <v>61</v>
      </c>
      <c r="D9" t="s">
        <v>62</v>
      </c>
      <c r="E9" t="str">
        <f>GeneraLambda!D9</f>
        <v>frequenza</v>
      </c>
      <c r="G9" t="s">
        <v>85</v>
      </c>
      <c r="H9" t="s">
        <v>87</v>
      </c>
      <c r="I9" t="s">
        <v>87</v>
      </c>
      <c r="J9" t="s">
        <v>85</v>
      </c>
      <c r="K9" t="s">
        <v>85</v>
      </c>
      <c r="L9" t="str">
        <f>GeneraLambda!H9</f>
        <v>text</v>
      </c>
      <c r="N9" s="2" t="str">
        <f>N8&amp;","&amp;CHAR(10)&amp;varform(A9,B9,C9,D9,E9,F9,G9,H9,I9,J9)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</v>
      </c>
      <c r="O9" s="2" t="str">
        <f t="shared" si="0"/>
        <v xml:space="preserve">codice_azienda, codice, descrizione_breve, id_procedura_parent, ordinamento, tree_path, frequenza, </v>
      </c>
      <c r="P9" s="2" t="str">
        <f>P8&amp;elencovalori(A9,K9,L10,L9)</f>
        <v xml:space="preserve">${body['codice_azienda'], ${body['codice'], ${body['descrizione_breve'], ${body[id_procedura_parent], ${body[ordinamento], ${body['tree_path'], ${body['frequenza'], </v>
      </c>
      <c r="Q9" s="2"/>
      <c r="R9" s="2"/>
      <c r="S9" s="2"/>
      <c r="T9" t="str">
        <f>insertString(Appendice!C9,O9,P9,$E$5)</f>
        <v>`INSERT INTO entrasp.frequenza_x000D_(codice_azienda, codice, descrizione_breve, id_procedura_parent, ordinamento, tree_path, frequenza, )_x000D_Values_x000D_(${body['codice_azienda'], ${body['codice'], ${body['descrizione_breve'], ${body[id_procedura_parent], ${body[ordinamento], ${body['tree_path'], ${body['frequenza'], )_x000D_RETURNING id_procedura;`</v>
      </c>
    </row>
    <row r="10" spans="1:21" ht="17.25" customHeight="1" x14ac:dyDescent="0.25">
      <c r="A10" t="str">
        <f>GeneraLambda!D10</f>
        <v>strumento_informatico</v>
      </c>
      <c r="B10" t="s">
        <v>84</v>
      </c>
      <c r="C10" t="s">
        <v>63</v>
      </c>
      <c r="D10" t="s">
        <v>62</v>
      </c>
      <c r="E10" t="str">
        <f>GeneraLambda!D10</f>
        <v>strumento_informatico</v>
      </c>
      <c r="G10" t="s">
        <v>85</v>
      </c>
      <c r="H10" t="s">
        <v>87</v>
      </c>
      <c r="I10" t="s">
        <v>87</v>
      </c>
      <c r="J10" t="s">
        <v>85</v>
      </c>
      <c r="K10" t="s">
        <v>85</v>
      </c>
      <c r="L10" t="str">
        <f>GeneraLambda!H10</f>
        <v>text</v>
      </c>
      <c r="N10" s="2" t="str">
        <f>N9&amp;","&amp;CHAR(10)&amp;varform(A10,B10,C10,D10,E10,F10,G10,H10,I10,J10)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</v>
      </c>
      <c r="O10" s="2" t="str">
        <f t="shared" si="0"/>
        <v xml:space="preserve">codice_azienda, codice, descrizione_breve, id_procedura_parent, ordinamento, tree_path, frequenza, strumento_informatico, </v>
      </c>
      <c r="P10" s="2" t="str">
        <f>P9&amp;elencovalori(A10,K10,L11,L10)</f>
        <v xml:space="preserve">${body['codice_azienda'], ${body['codice'], ${body['descrizione_breve'], ${body[id_procedura_parent], ${body[ordinamento], ${body['tree_path'], ${body['frequenza'], ${body['strumento_informatico'], </v>
      </c>
      <c r="Q10" s="2"/>
      <c r="R10" s="2"/>
      <c r="S10" s="2"/>
      <c r="T10" t="str">
        <f>insertString(Appendice!C10,O10,P10,$E$5)</f>
        <v>`INSERT INTO entrasp.strumento_informatico_x000D_(codice_azienda, codice, descrizione_breve, id_procedura_parent, ordinamento, tree_path, frequenza, strumento_informatico, )_x000D_Values_x000D_(${body['codice_azienda'], ${body['codice'], ${body['descrizione_breve'], ${body[id_procedura_parent], ${body[ordinamento], ${body['tree_path'], ${body['frequenza'], ${body['strumento_informatico'], )_x000D_RETURNING id_procedura;`</v>
      </c>
    </row>
    <row r="11" spans="1:21" ht="17.25" customHeight="1" x14ac:dyDescent="0.25">
      <c r="A11" t="str">
        <f>GeneraLambda!D11</f>
        <v>id_centro_gest</v>
      </c>
      <c r="B11" t="s">
        <v>86</v>
      </c>
      <c r="C11" t="s">
        <v>64</v>
      </c>
      <c r="D11" t="s">
        <v>62</v>
      </c>
      <c r="E11" t="str">
        <f>GeneraLambda!D11</f>
        <v>id_centro_gest</v>
      </c>
      <c r="G11" t="s">
        <v>85</v>
      </c>
      <c r="H11" t="s">
        <v>87</v>
      </c>
      <c r="I11" t="s">
        <v>87</v>
      </c>
      <c r="J11" t="s">
        <v>85</v>
      </c>
      <c r="K11" t="s">
        <v>85</v>
      </c>
      <c r="L11" t="str">
        <f>GeneraLambda!H11</f>
        <v>numeric</v>
      </c>
      <c r="N11" s="2" t="str">
        <f>N10&amp;","&amp;CHAR(10)&amp;varform(A11,B11,C11,D11,E11,F11,G11,H11,I11,J11)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</v>
      </c>
      <c r="O11" s="2" t="str">
        <f t="shared" si="0"/>
        <v xml:space="preserve">codice_azienda, codice, descrizione_breve, id_procedura_parent, ordinamento, tree_path, frequenza, strumento_informatico, id_centro_gest, </v>
      </c>
      <c r="P11" s="2" t="str">
        <f>P10&amp;elencovalori(A11,K11,L12,L11)</f>
        <v xml:space="preserve">${body['codice_azienda'], ${body['codice'], ${body['descrizione_breve'], ${body[id_procedura_parent], ${body[ordinamento], ${body['tree_path'], ${body['frequenza'], ${body['strumento_informatico'], ${body[id_centro_gest], </v>
      </c>
      <c r="Q11" s="2"/>
      <c r="R11" s="2"/>
      <c r="S11" s="2"/>
      <c r="T11" t="str">
        <f>insertString(Appendice!C11,O11,P11,$E$5)</f>
        <v>`INSERT INTO entrasp.id_centro_gest_x000D_(codice_azienda, codice, descrizione_breve, id_procedura_parent, ordinamento, tree_path, frequenza, strumento_informatico, id_centro_gest, )_x000D_Values_x000D_(${body['codice_azienda'], ${body['codice'], ${body['descrizione_breve'], ${body[id_procedura_parent], ${body[ordinamento], ${body['tree_path'], ${body['frequenza'], ${body['strumento_informatico'], ${body[id_centro_gest], )_x000D_RETURNING id_procedura;`</v>
      </c>
    </row>
    <row r="12" spans="1:21" ht="17.25" customHeight="1" x14ac:dyDescent="0.25">
      <c r="A12" t="str">
        <f>GeneraLambda!D12</f>
        <v>codice_part</v>
      </c>
      <c r="B12" t="s">
        <v>84</v>
      </c>
      <c r="C12" t="s">
        <v>65</v>
      </c>
      <c r="D12" t="s">
        <v>62</v>
      </c>
      <c r="E12" t="str">
        <f>GeneraLambda!D12</f>
        <v>codice_part</v>
      </c>
      <c r="G12" t="s">
        <v>85</v>
      </c>
      <c r="H12" t="s">
        <v>87</v>
      </c>
      <c r="I12" t="s">
        <v>87</v>
      </c>
      <c r="J12" t="s">
        <v>85</v>
      </c>
      <c r="K12" t="s">
        <v>85</v>
      </c>
      <c r="L12" t="str">
        <f>GeneraLambda!H12</f>
        <v>character varying</v>
      </c>
      <c r="N12" s="2" t="str">
        <f>N11&amp;","&amp;CHAR(10)&amp;varform(A12,B12,C12,D12,E12,F12,G12,H12,I12,J12)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</v>
      </c>
      <c r="O12" s="2" t="str">
        <f t="shared" si="0"/>
        <v xml:space="preserve">codice_azienda, codice, descrizione_breve, id_procedura_parent, ordinamento, tree_path, frequenza, strumento_informatico, id_centro_gest, codice_part, </v>
      </c>
      <c r="P12" s="2" t="str">
        <f t="shared" ref="P12:P75" si="1">P11&amp;elencovalori(A12,K12,L13,L12)</f>
        <v xml:space="preserve">${body['codice_azienda'], ${body['codice'], ${body['descrizione_breve'], ${body[id_procedura_parent], ${body[ordinamento], ${body['tree_path'], ${body['frequenza'], ${body['strumento_informatico'], ${body[id_centro_gest], ${body['codice_part'], </v>
      </c>
      <c r="Q12" s="2"/>
      <c r="R12" s="2"/>
      <c r="S12" s="2"/>
      <c r="T12" t="str">
        <f>insertString(Appendice!C12,O12,P12,$E$5)</f>
        <v>`INSERT INTO entrasp.codice_part_x000D_(codice_azienda, codice, descrizione_breve, id_procedura_parent, ordinamento, tree_path, frequenza, strumento_informatico, id_centro_gest, codice_part, )_x000D_Values_x000D_(${body['codice_azienda'], ${body['codice'], ${body['descrizione_breve'], ${body[id_procedura_parent], ${body[ordinamento], ${body['tree_path'], ${body['frequenza'], ${body['strumento_informatico'], ${body[id_centro_gest], ${body['codice_part'], )_x000D_RETURNING id_procedura;`</v>
      </c>
    </row>
    <row r="13" spans="1:21" ht="17.25" customHeight="1" x14ac:dyDescent="0.25">
      <c r="A13" t="str">
        <f>GeneraLambda!D13</f>
        <v>descrizione</v>
      </c>
      <c r="B13" t="s">
        <v>84</v>
      </c>
      <c r="C13" t="s">
        <v>66</v>
      </c>
      <c r="D13" t="s">
        <v>62</v>
      </c>
      <c r="E13" t="str">
        <f>GeneraLambda!D13</f>
        <v>descrizione</v>
      </c>
      <c r="G13" t="s">
        <v>85</v>
      </c>
      <c r="H13" t="s">
        <v>87</v>
      </c>
      <c r="I13" t="s">
        <v>87</v>
      </c>
      <c r="J13" s="4" t="s">
        <v>90</v>
      </c>
      <c r="K13" t="s">
        <v>85</v>
      </c>
      <c r="L13" t="str">
        <f>GeneraLambda!H13</f>
        <v>text</v>
      </c>
      <c r="N13" s="2" t="str">
        <f>N12&amp;","&amp;CHAR(10)&amp;varform(A13,B13,C13,D13,E13,F13,G13,H13,I13,J13)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</v>
      </c>
      <c r="O13" s="2" t="str">
        <f t="shared" si="0"/>
        <v xml:space="preserve">codice_azienda, codice, descrizione_breve, id_procedura_parent, ordinamento, tree_path, frequenza, strumento_informatico, id_centro_gest, codice_part, descrizione, </v>
      </c>
      <c r="P13" s="2" t="str">
        <f t="shared" si="1"/>
        <v xml:space="preserve">${body['codice_azienda'], ${body['codice'], ${body['descrizione_breve'], ${body[id_procedura_parent], ${body[ordinamento], ${body['tree_path'], ${body['frequenza'], ${body['strumento_informatico'], ${body[id_centro_gest], ${body['codice_part'], ${body['descrizione'], </v>
      </c>
      <c r="Q13" s="2"/>
      <c r="R13" s="2"/>
      <c r="S13" s="2"/>
      <c r="T13" t="str">
        <f>insertString(Appendice!C13,O13,P13,$E$5)</f>
        <v>`INSERT INTO entrasp.descrizione_x000D_(codice_azienda, codice, descrizione_breve, id_procedura_parent, ordinamento, tree_path, frequenza, strumento_informatico, id_centro_gest, codice_part, descrizione, 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)_x000D_RETURNING id_procedura;`</v>
      </c>
    </row>
    <row r="14" spans="1:21" ht="17.25" customHeight="1" x14ac:dyDescent="0.25">
      <c r="A14" t="str">
        <f>GeneraLambda!D14</f>
        <v>tipo_procedura</v>
      </c>
      <c r="B14" t="s">
        <v>86</v>
      </c>
      <c r="C14" t="s">
        <v>67</v>
      </c>
      <c r="D14" t="s">
        <v>62</v>
      </c>
      <c r="E14" t="str">
        <f>GeneraLambda!D14</f>
        <v>tipo_procedura</v>
      </c>
      <c r="G14" t="s">
        <v>85</v>
      </c>
      <c r="H14" t="s">
        <v>87</v>
      </c>
      <c r="I14" t="s">
        <v>87</v>
      </c>
      <c r="J14" t="s">
        <v>85</v>
      </c>
      <c r="K14" t="s">
        <v>85</v>
      </c>
      <c r="L14" t="str">
        <f>GeneraLambda!H14</f>
        <v>character</v>
      </c>
      <c r="N14" s="2" t="str">
        <f>N13&amp;","&amp;CHAR(10)&amp;varform(A14,B14,C14,D14,E14,F14,G14,H14,I14,J14)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</v>
      </c>
      <c r="O14" s="2" t="str">
        <f t="shared" si="0"/>
        <v xml:space="preserve">codice_azienda, codice, descrizione_breve, id_procedura_parent, ordinamento, tree_path, frequenza, strumento_informatico, id_centro_gest, codice_part, descrizione, tipo_procedura, </v>
      </c>
      <c r="P14" s="2" t="str">
        <f t="shared" si="1"/>
        <v xml:space="preserve"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</v>
      </c>
      <c r="Q14" s="2"/>
      <c r="R14" s="2"/>
      <c r="S14" s="2"/>
      <c r="T14" t="str">
        <f>insertString(Appendice!C14,O14,P14,$E$5)</f>
        <v>`INSERT INTO entrasp.tipo_procedura_x000D_(codice_azienda, codice, descrizione_breve, id_procedura_parent, ordinamento, tree_path, frequenza, strumento_informatico, id_centro_gest, codice_part, descrizione, tipo_procedura, 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)_x000D_RETURNING id_procedura;`</v>
      </c>
    </row>
    <row r="15" spans="1:21" ht="17.25" customHeight="1" x14ac:dyDescent="0.25">
      <c r="A15" t="str">
        <f>GeneraLambda!D15</f>
        <v>stato_attuazione</v>
      </c>
      <c r="B15" t="s">
        <v>86</v>
      </c>
      <c r="C15" t="s">
        <v>71</v>
      </c>
      <c r="D15" t="s">
        <v>62</v>
      </c>
      <c r="E15" t="str">
        <f>GeneraLambda!D15</f>
        <v>stato_attuazione</v>
      </c>
      <c r="G15" t="s">
        <v>85</v>
      </c>
      <c r="H15" t="s">
        <v>87</v>
      </c>
      <c r="I15" t="s">
        <v>87</v>
      </c>
      <c r="J15" t="s">
        <v>85</v>
      </c>
      <c r="K15" t="s">
        <v>85</v>
      </c>
      <c r="L15" t="str">
        <f>GeneraLambda!H15</f>
        <v>character</v>
      </c>
      <c r="N15" s="2" t="str">
        <f>N14&amp;","&amp;CHAR(10)&amp;varform(A15,B15,C15,D15,E15,F15,G15,H15,I15,J15)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</v>
      </c>
      <c r="O15" s="2" t="str">
        <f t="shared" si="0"/>
        <v xml:space="preserve">codice_azienda, codice, descrizione_breve, id_procedura_parent, ordinamento, tree_path, frequenza, strumento_informatico, id_centro_gest, codice_part, descrizione, tipo_procedura, stato_attuazione, </v>
      </c>
      <c r="P15" s="2" t="str">
        <f t="shared" si="1"/>
        <v xml:space="preserve"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</v>
      </c>
      <c r="Q15" s="2"/>
      <c r="R15" s="2"/>
      <c r="S15" s="2"/>
      <c r="T15" t="str">
        <f>insertString(Appendice!C15,O15,P15,$E$5)</f>
        <v>`INSERT INTO entrasp.stato_attuazione_x000D_(codice_azienda, codice, descrizione_breve, id_procedura_parent, ordinamento, tree_path, frequenza, strumento_informatico, id_centro_gest, codice_part, descrizione, tipo_procedura, stato_attuazione, 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)_x000D_RETURNING id_procedura;`</v>
      </c>
    </row>
    <row r="16" spans="1:21" ht="17.25" customHeight="1" x14ac:dyDescent="0.25">
      <c r="A16" t="str">
        <f>GeneraLambda!D16</f>
        <v>id_tipo_processo</v>
      </c>
      <c r="B16" t="s">
        <v>86</v>
      </c>
      <c r="C16" t="s">
        <v>72</v>
      </c>
      <c r="D16" t="s">
        <v>62</v>
      </c>
      <c r="E16" t="str">
        <f>GeneraLambda!D16</f>
        <v>id_tipo_processo</v>
      </c>
      <c r="G16" t="s">
        <v>85</v>
      </c>
      <c r="H16" t="s">
        <v>87</v>
      </c>
      <c r="I16" t="s">
        <v>87</v>
      </c>
      <c r="J16" t="s">
        <v>85</v>
      </c>
      <c r="K16" t="s">
        <v>85</v>
      </c>
      <c r="L16" t="str">
        <f>GeneraLambda!H16</f>
        <v>numeric</v>
      </c>
      <c r="N16" s="2" t="str">
        <f>N15&amp;","&amp;CHAR(10)&amp;varform(A16,B16,C16,D16,E16,F16,G16,H16,I16,J16)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</v>
      </c>
      <c r="O16" s="2" t="str">
        <f t="shared" si="0"/>
        <v>codice_azienda, codice, descrizione_breve, id_procedura_parent, ordinamento, tree_path, frequenza, strumento_informatico, id_centro_gest, codice_part, descrizione, tipo_procedura, stato_attuazione, id_tipo_processo</v>
      </c>
      <c r="P16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</v>
      </c>
      <c r="Q16" s="2"/>
      <c r="R16" s="2"/>
      <c r="S16" s="2"/>
      <c r="T16" t="str">
        <f>insertString(Appendice!C16,O16,P16,$E$5)</f>
        <v>`INSERT INTO entrasp.id_tipo_processo_x000D_(codice_azienda, codice, descrizione_breve, id_procedura_parent, ordinamento, tree_path, frequenza, strumento_informatico, id_centro_gest, codice_part, descrizione, tipo_procedura, stato_attuazione, id_tipo_processo)_x000D_Values_x000D_(${body['codice_azienda'],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${body[id_tipo_processo])_x000D_RETURNING id_procedura;`</v>
      </c>
    </row>
    <row r="17" spans="1:20" ht="17.25" customHeight="1" x14ac:dyDescent="0.25">
      <c r="A17">
        <f>GeneraLambda!D17</f>
        <v>0</v>
      </c>
      <c r="B17" t="s">
        <v>84</v>
      </c>
      <c r="E17">
        <f>GeneraLambda!D17</f>
        <v>0</v>
      </c>
      <c r="G17" t="s">
        <v>85</v>
      </c>
      <c r="H17" t="s">
        <v>87</v>
      </c>
      <c r="I17" t="s">
        <v>87</v>
      </c>
      <c r="J17" t="s">
        <v>85</v>
      </c>
      <c r="K17" t="s">
        <v>85</v>
      </c>
      <c r="L17">
        <f>GeneraLambda!H17</f>
        <v>0</v>
      </c>
      <c r="N17" s="2" t="str">
        <f>N16&amp;","&amp;CHAR(10)&amp;varform(A17,B17,C17,D17,E17,F17,G17,H17,I17,J17)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</v>
      </c>
      <c r="O17" s="2" t="str">
        <f t="shared" si="0"/>
        <v>codice_azienda, codice, descrizione_breve, id_procedura_parent, ordinamento, tree_path, frequenza, strumento_informatico, id_centro_gest, codice_part, descrizione, tipo_procedura, stato_attuazione, id_tipo_processo0</v>
      </c>
      <c r="P17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</v>
      </c>
      <c r="Q17" s="2"/>
      <c r="R17" s="2"/>
      <c r="S17" s="2"/>
      <c r="T17" t="str">
        <f>insertString(Appendice!C17,O17,P17,$E$5)</f>
        <v>`INSERT INTO entrasp._x000D_(codice_azienda, codice, descrizione_breve, id_procedura_parent, ordinamento, tree_path, frequenza, strumento_informatico, id_centro_gest, codice_part, descrizione, tipo_procedura, stato_attuazione, id_tipo_processo0)_x000D_Values_x000D_(${body['codice_azienda'],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${body[id_tipo_processo]${body['0'])_x000D_RETURNING id_procedura;`</v>
      </c>
    </row>
    <row r="18" spans="1:20" ht="17.25" customHeight="1" x14ac:dyDescent="0.25">
      <c r="A18">
        <f>GeneraLambda!D18</f>
        <v>0</v>
      </c>
      <c r="B18" t="s">
        <v>84</v>
      </c>
      <c r="E18">
        <f>GeneraLambda!D18</f>
        <v>0</v>
      </c>
      <c r="G18" t="s">
        <v>85</v>
      </c>
      <c r="H18" t="s">
        <v>87</v>
      </c>
      <c r="I18" t="s">
        <v>87</v>
      </c>
      <c r="J18" t="s">
        <v>85</v>
      </c>
      <c r="K18" t="s">
        <v>85</v>
      </c>
      <c r="L18">
        <f>GeneraLambda!H18</f>
        <v>0</v>
      </c>
      <c r="N18" s="2" t="str">
        <f>N17&amp;","&amp;CHAR(10)&amp;varform(A18,B18,C18,D18,E18,F18,G18,H18,I18,J18)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18" s="2" t="str">
        <f t="shared" si="0"/>
        <v>codice_azienda, codice, descrizione_breve, id_procedura_parent, ordinamento, tree_path, frequenza, strumento_informatico, id_centro_gest, codice_part, descrizione, tipo_procedura, stato_attuazione, id_tipo_processo00</v>
      </c>
      <c r="P18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</v>
      </c>
      <c r="Q18" s="2"/>
      <c r="R18" s="2"/>
      <c r="S18" s="2"/>
      <c r="T18" t="str">
        <f>insertString(Appendice!C18,O18,P18,$E$5)</f>
        <v>`INSERT INTO entrasp._x000D_(codice_azienda, codice, descrizione_breve, id_procedura_parent, ordinamento, tree_path, frequenza, strumento_informatico, id_centro_gest, codice_part, descrizione, tipo_procedura, stato_attuazione, id_tipo_processo00)_x000D_Values_x000D_(${body['codice_azienda'],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${body[id_tipo_processo]${body['0']${body['0'])_x000D_RETURNING id_procedura;`</v>
      </c>
    </row>
    <row r="19" spans="1:20" ht="17.25" customHeight="1" x14ac:dyDescent="0.25">
      <c r="A19">
        <f>GeneraLambda!D19</f>
        <v>0</v>
      </c>
      <c r="B19" t="s">
        <v>84</v>
      </c>
      <c r="E19">
        <f>GeneraLambda!D19</f>
        <v>0</v>
      </c>
      <c r="G19" t="s">
        <v>85</v>
      </c>
      <c r="H19" t="s">
        <v>87</v>
      </c>
      <c r="I19" t="s">
        <v>87</v>
      </c>
      <c r="J19" t="s">
        <v>85</v>
      </c>
      <c r="K19" t="s">
        <v>85</v>
      </c>
      <c r="L19">
        <f>GeneraLambda!H19</f>
        <v>0</v>
      </c>
      <c r="N19" s="2" t="str">
        <f>N18&amp;","&amp;CHAR(10)&amp;varform(A19,B19,C19,D19,E19,F19,G19,H19,I19,J19)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19" s="2" t="str">
        <f t="shared" si="0"/>
        <v>codice_azienda, codice, descrizione_breve, id_procedura_parent, ordinamento, tree_path, frequenza, strumento_informatico, id_centro_gest, codice_part, descrizione, tipo_procedura, stato_attuazione, id_tipo_processo000</v>
      </c>
      <c r="P19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</v>
      </c>
      <c r="Q19" s="2"/>
      <c r="R19" s="2"/>
      <c r="S19" s="2"/>
      <c r="T19" t="str">
        <f>insertString(Appendice!C19,O19,P19,$E$5)</f>
        <v>`INSERT INTO entrasp._x000D_(codice_azienda, codice, descrizione_breve, id_procedura_parent, ordinamento, tree_path, frequenza, strumento_informatico, id_centro_gest, codice_part, descrizione, tipo_procedura, stato_attuazione, id_tipo_processo000)_x000D_Values_x000D_(${body['codice_azienda'],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${body[id_tipo_processo]${body['0']${body['0']${body['0'])_x000D_RETURNING id_procedura;`</v>
      </c>
    </row>
    <row r="20" spans="1:20" ht="17.25" customHeight="1" x14ac:dyDescent="0.25">
      <c r="A20">
        <f>GeneraLambda!D20</f>
        <v>0</v>
      </c>
      <c r="B20" t="s">
        <v>84</v>
      </c>
      <c r="E20">
        <f>GeneraLambda!D20</f>
        <v>0</v>
      </c>
      <c r="G20" t="s">
        <v>85</v>
      </c>
      <c r="H20" t="s">
        <v>87</v>
      </c>
      <c r="I20" t="s">
        <v>87</v>
      </c>
      <c r="J20" t="s">
        <v>85</v>
      </c>
      <c r="K20" t="s">
        <v>85</v>
      </c>
      <c r="L20">
        <f>GeneraLambda!H20</f>
        <v>0</v>
      </c>
      <c r="N20" s="2" t="str">
        <f>N19&amp;","&amp;CHAR(10)&amp;varform(A20,B20,C20,D20,E20,F20,G20,H20,I20,J20)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0" s="2" t="str">
        <f t="shared" si="0"/>
        <v>codice_azienda, codice, descrizione_breve, id_procedura_parent, ordinamento, tree_path, frequenza, strumento_informatico, id_centro_gest, codice_part, descrizione, tipo_procedura, stato_attuazione, id_tipo_processo0000</v>
      </c>
      <c r="P20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</v>
      </c>
      <c r="Q20" s="2"/>
      <c r="R20" s="2"/>
      <c r="S20" s="2"/>
      <c r="T20" t="str">
        <f>insertString(Appendice!C20,O20,P20,$E$5)</f>
        <v>`INSERT INTO entrasp._x000D_(codice_azienda, codice, descrizione_breve, id_procedura_parent, ordinamento, tree_path, frequenza, strumento_informatico, id_centro_gest, codice_part, descrizione, tipo_procedura, stato_attuazione, id_tipo_processo0000)_x000D_Values_x000D_(${body['codice_azienda'],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${body[id_tipo_processo]${body['0']${body['0']${body['0']${body['0'])_x000D_RETURNING id_procedura;`</v>
      </c>
    </row>
    <row r="21" spans="1:20" ht="17.25" customHeight="1" x14ac:dyDescent="0.25">
      <c r="A21">
        <f>GeneraLambda!D21</f>
        <v>0</v>
      </c>
      <c r="B21" t="s">
        <v>84</v>
      </c>
      <c r="E21">
        <f>GeneraLambda!D21</f>
        <v>0</v>
      </c>
      <c r="G21" t="s">
        <v>85</v>
      </c>
      <c r="H21" t="s">
        <v>87</v>
      </c>
      <c r="I21" t="s">
        <v>87</v>
      </c>
      <c r="J21" t="s">
        <v>85</v>
      </c>
      <c r="K21" t="s">
        <v>85</v>
      </c>
      <c r="L21">
        <f>GeneraLambda!H21</f>
        <v>0</v>
      </c>
      <c r="N21" s="2" t="str">
        <f>N20&amp;","&amp;CHAR(10)&amp;varform(A21,B21,C21,D21,E21,F21,G21,H21,I21,J21)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1" s="2" t="str">
        <f t="shared" si="0"/>
        <v>codice_azienda, codice, descrizione_breve, id_procedura_parent, ordinamento, tree_path, frequenza, strumento_informatico, id_centro_gest, codice_part, descrizione, tipo_procedura, stato_attuazione, id_tipo_processo00000</v>
      </c>
      <c r="P21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</v>
      </c>
      <c r="Q21" s="2"/>
      <c r="R21" s="2"/>
      <c r="S21" s="2"/>
      <c r="T21" t="str">
        <f>insertString(Appendice!C21,O21,P21,$E$5)</f>
        <v>`INSERT INTO entrasp._x000D_(codice_azienda, codice, descrizione_breve, id_procedura_parent, ordinamento, tree_path, frequenza, strumento_informatico, id_centro_gest, codice_part, descrizione, tipo_procedura, stato_attuazione, id_tipo_processo00000)_x000D_Values_x000D_(${body['codice_azienda'],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${body[id_tipo_processo]${body['0']${body['0']${body['0']${body['0']${body['0'])_x000D_RETURNING id_procedura;`</v>
      </c>
    </row>
    <row r="22" spans="1:20" ht="17.25" customHeight="1" x14ac:dyDescent="0.25">
      <c r="A22">
        <f>GeneraLambda!D22</f>
        <v>0</v>
      </c>
      <c r="B22" t="s">
        <v>84</v>
      </c>
      <c r="E22">
        <f>GeneraLambda!D22</f>
        <v>0</v>
      </c>
      <c r="G22" t="s">
        <v>85</v>
      </c>
      <c r="H22" t="s">
        <v>87</v>
      </c>
      <c r="I22" t="s">
        <v>87</v>
      </c>
      <c r="J22" t="s">
        <v>85</v>
      </c>
      <c r="K22" t="s">
        <v>85</v>
      </c>
      <c r="L22">
        <f>GeneraLambda!H22</f>
        <v>0</v>
      </c>
      <c r="N22" s="2" t="str">
        <f>N21&amp;","&amp;CHAR(10)&amp;varform(A22,B22,C22,D22,E22,F22,G22,H22,I22,J22)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2" s="2" t="str">
        <f t="shared" si="0"/>
        <v>codice_azienda, codice, descrizione_breve, id_procedura_parent, ordinamento, tree_path, frequenza, strumento_informatico, id_centro_gest, codice_part, descrizione, tipo_procedura, stato_attuazione, id_tipo_processo000000</v>
      </c>
      <c r="P22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</v>
      </c>
      <c r="Q22" s="2"/>
      <c r="R22" s="2"/>
      <c r="S22" s="2"/>
      <c r="T22" t="str">
        <f>insertString(Appendice!C22,O22,P22,$E$5)</f>
        <v>`INSERT INTO entrasp._x000D_(codice_azienda, codice, descrizione_breve, id_procedura_parent, ordinamento, tree_path, frequenza, strumento_informatico, id_centro_gest, codice_part, descrizione, tipo_procedura, stato_attuazione, id_tipo_processo000000)_x000D_Values_x000D_(${body['codice_azienda'],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${body[id_tipo_processo]${body['0']${body['0']${body['0']${body['0']${body['0']${body['0'])_x000D_RETURNING id_procedura;`</v>
      </c>
    </row>
    <row r="23" spans="1:20" ht="17.25" customHeight="1" x14ac:dyDescent="0.25">
      <c r="A23">
        <f>GeneraLambda!D23</f>
        <v>0</v>
      </c>
      <c r="B23" t="s">
        <v>84</v>
      </c>
      <c r="E23">
        <f>GeneraLambda!D23</f>
        <v>0</v>
      </c>
      <c r="G23" t="s">
        <v>85</v>
      </c>
      <c r="H23" t="s">
        <v>87</v>
      </c>
      <c r="I23" t="s">
        <v>87</v>
      </c>
      <c r="J23" t="s">
        <v>85</v>
      </c>
      <c r="K23" t="s">
        <v>85</v>
      </c>
      <c r="L23">
        <f>GeneraLambda!H23</f>
        <v>0</v>
      </c>
      <c r="N23" s="2" t="str">
        <f>N22&amp;","&amp;CHAR(10)&amp;varform(A23,B23,C23,D23,E23,F23,G23,H23,I23,J23)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3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</v>
      </c>
      <c r="P23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</v>
      </c>
      <c r="Q23" s="2"/>
      <c r="R23" s="2"/>
      <c r="S23" s="2"/>
      <c r="T23" t="str">
        <f>insertString(Appendice!C23,O23,P23,$E$5)</f>
        <v>`INSERT INTO entrasp._x000D_(codice_azienda, codice, descrizione_breve, id_procedura_parent, ordinamento, tree_path, frequenza, strumento_informatico, id_centro_gest, codice_part, descrizione, tipo_procedura, stato_attuazione, id_tipo_processo0000000)_x000D_Values_x000D_(${body['codice_azienda'],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${body[id_tipo_processo]${body['0']${body['0']${body['0']${body['0']${body['0']${body['0']${body['0'])_x000D_RETURNING id_procedura;`</v>
      </c>
    </row>
    <row r="24" spans="1:20" ht="17.25" customHeight="1" x14ac:dyDescent="0.25">
      <c r="A24">
        <f>GeneraLambda!D24</f>
        <v>0</v>
      </c>
      <c r="B24" t="s">
        <v>84</v>
      </c>
      <c r="E24">
        <f>GeneraLambda!D24</f>
        <v>0</v>
      </c>
      <c r="G24" t="s">
        <v>85</v>
      </c>
      <c r="H24" t="s">
        <v>87</v>
      </c>
      <c r="I24" t="s">
        <v>87</v>
      </c>
      <c r="J24" t="s">
        <v>85</v>
      </c>
      <c r="K24" t="s">
        <v>85</v>
      </c>
      <c r="L24">
        <f>GeneraLambda!H24</f>
        <v>0</v>
      </c>
      <c r="N24" s="2" t="str">
        <f>N23&amp;","&amp;CHAR(10)&amp;varform(A24,B24,C24,D24,E24,F24,G24,H24,I24,J24)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4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</v>
      </c>
      <c r="P24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</v>
      </c>
      <c r="Q24" s="2"/>
      <c r="R24" s="2"/>
      <c r="S24" s="2"/>
      <c r="T24" t="str">
        <f>insertString(Appendice!C24,O24,P24,$E$5)</f>
        <v>`INSERT INTO entrasp._x000D_(codice_azienda, codice, descrizione_breve, id_procedura_parent, ordinamento, tree_path, frequenza, strumento_informatico, id_centro_gest, codice_part, descrizione, tipo_procedura, stato_attuazione, id_tipo_processo00000000)_x000D_Values_x000D_(${body['codice_azienda'],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${body[id_tipo_processo]${body['0']${body['0']${body['0']${body['0']${body['0']${body['0']${body['0']${body['0'])_x000D_RETURNING id_procedura;`</v>
      </c>
    </row>
    <row r="25" spans="1:20" ht="17.25" customHeight="1" x14ac:dyDescent="0.25">
      <c r="A25">
        <f>GeneraLambda!D25</f>
        <v>0</v>
      </c>
      <c r="B25" t="s">
        <v>84</v>
      </c>
      <c r="E25">
        <f>GeneraLambda!D25</f>
        <v>0</v>
      </c>
      <c r="G25" t="s">
        <v>85</v>
      </c>
      <c r="H25" t="s">
        <v>87</v>
      </c>
      <c r="I25" t="s">
        <v>87</v>
      </c>
      <c r="J25" t="s">
        <v>85</v>
      </c>
      <c r="K25" t="s">
        <v>85</v>
      </c>
      <c r="L25">
        <f>GeneraLambda!H25</f>
        <v>0</v>
      </c>
      <c r="N25" s="2" t="str">
        <f>N24&amp;","&amp;CHAR(10)&amp;varform(A25,B25,C25,D25,E25,F25,G25,H25,I25,J25)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5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</v>
      </c>
      <c r="P25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</v>
      </c>
      <c r="Q25" s="2"/>
      <c r="R25" s="2"/>
      <c r="S25" s="2"/>
      <c r="T25" t="str">
        <f>insertString(Appendice!C25,O25,P25,$E$5)</f>
        <v>`INSERT INTO entrasp._x000D_(codice_azienda, codice, descrizione_breve, id_procedura_parent, ordinamento, tree_path, frequenza, strumento_informatico, id_centro_gest, codice_part, descrizione, tipo_procedura, stato_attuazione, id_tipo_processo000000000)_x000D_Values_x000D_(${body['codice_azienda'],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${body[id_tipo_processo]${body['0']${body['0']${body['0']${body['0']${body['0']${body['0']${body['0']${body['0']${body['0'])_x000D_RETURNING id_procedura;`</v>
      </c>
    </row>
    <row r="26" spans="1:20" ht="17.25" customHeight="1" x14ac:dyDescent="0.25">
      <c r="A26">
        <f>GeneraLambda!D26</f>
        <v>0</v>
      </c>
      <c r="B26" t="s">
        <v>84</v>
      </c>
      <c r="E26">
        <f>GeneraLambda!D26</f>
        <v>0</v>
      </c>
      <c r="G26" t="s">
        <v>85</v>
      </c>
      <c r="H26" t="s">
        <v>87</v>
      </c>
      <c r="I26" t="s">
        <v>87</v>
      </c>
      <c r="J26" t="s">
        <v>85</v>
      </c>
      <c r="K26" t="s">
        <v>85</v>
      </c>
      <c r="L26">
        <f>GeneraLambda!H26</f>
        <v>0</v>
      </c>
      <c r="N26" s="2" t="str">
        <f>N25&amp;","&amp;CHAR(10)&amp;varform(A26,B26,C26,D26,E26,F26,G26,H26,I26,J26)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6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</v>
      </c>
      <c r="P26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</v>
      </c>
      <c r="Q26" s="2"/>
      <c r="R26" s="2"/>
      <c r="S26" s="2"/>
      <c r="T26" t="str">
        <f>insertString(Appendice!C26,O26,P26,$E$5)</f>
        <v>`INSERT INTO entrasp._x000D_(codice_azienda, codice, descrizione_breve, id_procedura_parent, ordinamento, tree_path, frequenza, strumento_informatico, id_centro_gest, codice_part, descrizione, tipo_procedura, stato_attuazione, id_tipo_processo0000000000)_x000D_Values_x000D_(${body['codice_azienda'],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${body[id_tipo_processo]${body['0']${body['0']${body['0']${body['0']${body['0']${body['0']${body['0']${body['0']${body['0']${body['0'])_x000D_RETURNING id_procedura;`</v>
      </c>
    </row>
    <row r="27" spans="1:20" ht="17.25" customHeight="1" x14ac:dyDescent="0.25">
      <c r="A27">
        <f>GeneraLambda!D27</f>
        <v>0</v>
      </c>
      <c r="B27" t="s">
        <v>84</v>
      </c>
      <c r="E27">
        <f>GeneraLambda!D27</f>
        <v>0</v>
      </c>
      <c r="G27" t="s">
        <v>85</v>
      </c>
      <c r="H27" t="s">
        <v>87</v>
      </c>
      <c r="I27" t="s">
        <v>87</v>
      </c>
      <c r="J27" t="s">
        <v>85</v>
      </c>
      <c r="K27" t="s">
        <v>85</v>
      </c>
      <c r="L27">
        <f>GeneraLambda!H27</f>
        <v>0</v>
      </c>
      <c r="N27" s="2" t="str">
        <f>N26&amp;","&amp;CHAR(10)&amp;varform(A27,B27,C27,D27,E27,F27,G27,H27,I27,J27)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7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</v>
      </c>
      <c r="P27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</v>
      </c>
      <c r="Q27" s="2"/>
      <c r="R27" s="2"/>
      <c r="S27" s="2"/>
      <c r="T27" t="str">
        <f>insertString(Appendice!C27,O27,P27,$E$5)</f>
        <v>`INSERT INTO entrasp._x000D_(codice_azienda, codice, descrizione_breve, id_procedura_parent, ordinamento, tree_path, frequenza, strumento_informatico, id_centro_gest, codice_part, descrizione, tipo_procedura, stato_attuazione, id_tipo_processo00000000000)_x000D_Values_x000D_(${body['codice_azienda'],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${body[id_tipo_processo]${body['0']${body['0']${body['0']${body['0']${body['0']${body['0']${body['0']${body['0']${body['0']${body['0']${body['0'])_x000D_RETURNING id_procedura;`</v>
      </c>
    </row>
    <row r="28" spans="1:20" ht="17.25" customHeight="1" x14ac:dyDescent="0.25">
      <c r="A28">
        <f>GeneraLambda!D28</f>
        <v>0</v>
      </c>
      <c r="B28" t="s">
        <v>84</v>
      </c>
      <c r="E28">
        <f>GeneraLambda!D28</f>
        <v>0</v>
      </c>
      <c r="G28" t="s">
        <v>85</v>
      </c>
      <c r="H28" t="s">
        <v>87</v>
      </c>
      <c r="I28" t="s">
        <v>87</v>
      </c>
      <c r="J28" t="s">
        <v>85</v>
      </c>
      <c r="K28" t="s">
        <v>85</v>
      </c>
      <c r="L28">
        <f>GeneraLambda!H28</f>
        <v>0</v>
      </c>
      <c r="N28" s="2" t="str">
        <f>N27&amp;","&amp;CHAR(10)&amp;varform(A28,B28,C28,D28,E28,F28,G28,H28,I28,J28)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8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</v>
      </c>
      <c r="P28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</v>
      </c>
      <c r="Q28" s="2"/>
      <c r="R28" s="2"/>
      <c r="S28" s="2"/>
      <c r="T28" t="str">
        <f>insertString(Appendice!C28,O28,P28,$E$5)</f>
        <v>`INSERT INTO entrasp._x000D_(codice_azienda, codice, descrizione_breve, id_procedura_parent, ordinamento, tree_path, frequenza, strumento_informatico, id_centro_gest, codice_part, descrizione, tipo_procedura, stato_attuazione, id_tipo_processo000000000000)_x000D_Values_x000D_(${body['codice_azienda'],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${body[id_tipo_processo]${body['0']${body['0']${body['0']${body['0']${body['0']${body['0']${body['0']${body['0']${body['0']${body['0']${body['0']${body['0'])_x000D_RETURNING id_procedura;`</v>
      </c>
    </row>
    <row r="29" spans="1:20" ht="17.25" customHeight="1" x14ac:dyDescent="0.25">
      <c r="A29">
        <f>GeneraLambda!D29</f>
        <v>0</v>
      </c>
      <c r="B29" t="s">
        <v>84</v>
      </c>
      <c r="E29">
        <f>GeneraLambda!D29</f>
        <v>0</v>
      </c>
      <c r="G29" t="s">
        <v>85</v>
      </c>
      <c r="H29" t="s">
        <v>87</v>
      </c>
      <c r="I29" t="s">
        <v>87</v>
      </c>
      <c r="J29" t="s">
        <v>85</v>
      </c>
      <c r="K29" t="s">
        <v>85</v>
      </c>
      <c r="L29">
        <f>GeneraLambda!H29</f>
        <v>0</v>
      </c>
      <c r="N29" s="2" t="str">
        <f>N28&amp;","&amp;CHAR(10)&amp;varform(A29,B29,C29,D29,E29,F29,G29,H29,I29,J29)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29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</v>
      </c>
      <c r="P29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</v>
      </c>
      <c r="Q29" s="2"/>
      <c r="R29" s="2"/>
      <c r="S29" s="2"/>
      <c r="T29" t="str">
        <f>insertString(Appendice!C29,O29,P29,$E$5)</f>
        <v>`INSERT INTO entrasp._x000D_(codice_azienda, codice, descrizione_breve, id_procedura_parent, ordinamento, tree_path, frequenza, strumento_informatico, id_centro_gest, codice_part, descrizione, tipo_procedura, stato_attuazione, id_tipo_processo0000000000000)_x000D_Values_x000D_(${body['codice_azienda'],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${body[id_tipo_processo]${body['0']${body['0']${body['0']${body['0']${body['0']${body['0']${body['0']${body['0']${body['0']${body['0']${body['0']${body['0']${body['0'])_x000D_RETURNING id_procedura;`</v>
      </c>
    </row>
    <row r="30" spans="1:20" ht="17.25" customHeight="1" x14ac:dyDescent="0.25">
      <c r="A30">
        <f>GeneraLambda!D30</f>
        <v>0</v>
      </c>
      <c r="B30" t="s">
        <v>84</v>
      </c>
      <c r="E30">
        <f>GeneraLambda!D30</f>
        <v>0</v>
      </c>
      <c r="G30" t="s">
        <v>85</v>
      </c>
      <c r="H30" t="s">
        <v>87</v>
      </c>
      <c r="I30" t="s">
        <v>87</v>
      </c>
      <c r="J30" t="s">
        <v>85</v>
      </c>
      <c r="K30" t="s">
        <v>85</v>
      </c>
      <c r="L30">
        <f>GeneraLambda!H30</f>
        <v>0</v>
      </c>
      <c r="N30" s="2" t="str">
        <f>N29&amp;","&amp;CHAR(10)&amp;varform(A30,B30,C30,D30,E30,F30,G30,H30,I30,J30)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0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</v>
      </c>
      <c r="P30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</v>
      </c>
      <c r="Q30" s="2"/>
      <c r="R30" s="2"/>
      <c r="S30" s="2"/>
      <c r="T30" t="str">
        <f>insertString(Appendice!C30,O30,P30,$E$5)</f>
        <v>`INSERT INTO entrasp._x000D_(codice_azienda, codice, descrizione_breve, id_procedura_parent, ordinamento, tree_path, frequenza, strumento_informatico, id_centro_gest, codice_part, descrizione, tipo_procedura, stato_attuazione, id_tipo_processo00000000000000)_x000D_Values_x000D_(${body['codice_azienda'],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${body[id_tipo_processo]${body['0']${body['0']${body['0']${body['0']${body['0']${body['0']${body['0']${body['0']${body['0']${body['0']${body['0']${body['0']${body['0']${body['0'])_x000D_RETURNING id_procedura;`</v>
      </c>
    </row>
    <row r="31" spans="1:20" ht="17.25" customHeight="1" x14ac:dyDescent="0.25">
      <c r="A31">
        <f>GeneraLambda!D31</f>
        <v>0</v>
      </c>
      <c r="B31" t="s">
        <v>84</v>
      </c>
      <c r="E31">
        <f>GeneraLambda!D31</f>
        <v>0</v>
      </c>
      <c r="G31" t="s">
        <v>85</v>
      </c>
      <c r="H31" t="s">
        <v>87</v>
      </c>
      <c r="I31" t="s">
        <v>87</v>
      </c>
      <c r="J31" t="s">
        <v>85</v>
      </c>
      <c r="K31" t="s">
        <v>85</v>
      </c>
      <c r="L31">
        <f>GeneraLambda!H31</f>
        <v>0</v>
      </c>
      <c r="N31" s="2" t="str">
        <f>N30&amp;","&amp;CHAR(10)&amp;varform(A31,B31,C31,D31,E31,F31,G31,H31,I31,J31)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1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</v>
      </c>
      <c r="P31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</v>
      </c>
      <c r="Q31" s="2"/>
      <c r="R31" s="2"/>
      <c r="S31" s="2"/>
      <c r="T31" t="str">
        <f>insertString(Appendice!C31,O31,P31,$E$5)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${body[id_tipo_processo]${body['0']${body['0']${body['0']${body['0']${body['0']${body['0']${body['0']${body['0']${body['0']${body['0']${body['0']${body['0']${body['0']${body['0']${body['0'])_x000D_RETURNING id_procedura;`</v>
      </c>
    </row>
    <row r="32" spans="1:20" ht="17.25" customHeight="1" x14ac:dyDescent="0.25">
      <c r="A32">
        <f>GeneraLambda!D32</f>
        <v>0</v>
      </c>
      <c r="B32" t="s">
        <v>84</v>
      </c>
      <c r="E32">
        <f>GeneraLambda!D32</f>
        <v>0</v>
      </c>
      <c r="G32" t="s">
        <v>85</v>
      </c>
      <c r="H32" t="s">
        <v>87</v>
      </c>
      <c r="I32" t="s">
        <v>87</v>
      </c>
      <c r="J32" t="s">
        <v>85</v>
      </c>
      <c r="K32" t="s">
        <v>85</v>
      </c>
      <c r="L32">
        <f>GeneraLambda!H32</f>
        <v>0</v>
      </c>
      <c r="N32" s="2" t="str">
        <f>N31&amp;","&amp;CHAR(10)&amp;varform(A32,B32,C32,D32,E32,F32,G32,H32,I32,J32)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2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</v>
      </c>
      <c r="P32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</v>
      </c>
      <c r="Q32" s="2"/>
      <c r="R32" s="2"/>
      <c r="S32" s="2"/>
      <c r="T32" t="str">
        <f>insertString(Appendice!C32,O32,P32,$E$5)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${body[id_tipo_processo]${body['0']${body['0']${body['0']${body['0']${body['0']${body['0']${body['0']${body['0']${body['0']${body['0']${body['0']${body['0']${body['0']${body['0']${body['0']${body['0'])_x000D_RETURNING id_procedura;`</v>
      </c>
    </row>
    <row r="33" spans="1:20" ht="17.25" customHeight="1" x14ac:dyDescent="0.25">
      <c r="A33">
        <f>GeneraLambda!D33</f>
        <v>0</v>
      </c>
      <c r="B33" t="s">
        <v>84</v>
      </c>
      <c r="E33">
        <f>GeneraLambda!D33</f>
        <v>0</v>
      </c>
      <c r="G33" t="s">
        <v>85</v>
      </c>
      <c r="H33" t="s">
        <v>87</v>
      </c>
      <c r="I33" t="s">
        <v>87</v>
      </c>
      <c r="J33" t="s">
        <v>85</v>
      </c>
      <c r="K33" t="s">
        <v>85</v>
      </c>
      <c r="L33">
        <f>GeneraLambda!H33</f>
        <v>0</v>
      </c>
      <c r="N33" s="2" t="str">
        <f>N32&amp;","&amp;CHAR(10)&amp;varform(A33,B33,C33,D33,E33,F33,G33,H33,I33,J33)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3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</v>
      </c>
      <c r="P33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</v>
      </c>
      <c r="Q33" s="2"/>
      <c r="R33" s="2"/>
      <c r="S33" s="2"/>
      <c r="T33" t="str">
        <f>insertString(Appendice!C33,O33,P33,$E$5)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${body[id_tipo_processo]${body['0']${body['0']${body['0']${body['0']${body['0']${body['0']${body['0']${body['0']${body['0']${body['0']${body['0']${body['0']${body['0']${body['0']${body['0']${body['0']${body['0'])_x000D_RETURNING id_procedura;`</v>
      </c>
    </row>
    <row r="34" spans="1:20" ht="17.25" customHeight="1" x14ac:dyDescent="0.25">
      <c r="A34">
        <f>GeneraLambda!D34</f>
        <v>0</v>
      </c>
      <c r="B34" t="s">
        <v>84</v>
      </c>
      <c r="E34">
        <f>GeneraLambda!D34</f>
        <v>0</v>
      </c>
      <c r="G34" t="s">
        <v>85</v>
      </c>
      <c r="H34" t="s">
        <v>87</v>
      </c>
      <c r="I34" t="s">
        <v>87</v>
      </c>
      <c r="J34" t="s">
        <v>85</v>
      </c>
      <c r="K34" t="s">
        <v>85</v>
      </c>
      <c r="L34">
        <f>GeneraLambda!H34</f>
        <v>0</v>
      </c>
      <c r="N34" s="2" t="str">
        <f>N33&amp;","&amp;CHAR(10)&amp;varform(A34,B34,C34,D34,E34,F34,G34,H34,I34,J34)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4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</v>
      </c>
      <c r="P34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</v>
      </c>
      <c r="Q34" s="2"/>
      <c r="R34" s="2"/>
      <c r="S34" s="2"/>
      <c r="T34" t="str">
        <f>insertString(Appendice!C34,O34,P34,$E$5)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${body[id_tipo_processo]${body['0']${body['0']${body['0']${body['0']${body['0']${body['0']${body['0']${body['0']${body['0']${body['0']${body['0']${body['0']${body['0']${body['0']${body['0']${body['0']${body['0']${body['0'])_x000D_RETURNING id_procedura;`</v>
      </c>
    </row>
    <row r="35" spans="1:20" ht="17.25" customHeight="1" x14ac:dyDescent="0.25">
      <c r="A35">
        <f>GeneraLambda!D35</f>
        <v>0</v>
      </c>
      <c r="B35" t="s">
        <v>84</v>
      </c>
      <c r="E35">
        <f>GeneraLambda!D35</f>
        <v>0</v>
      </c>
      <c r="G35" t="s">
        <v>85</v>
      </c>
      <c r="H35" t="s">
        <v>87</v>
      </c>
      <c r="I35" t="s">
        <v>87</v>
      </c>
      <c r="J35" t="s">
        <v>85</v>
      </c>
      <c r="K35" t="s">
        <v>85</v>
      </c>
      <c r="L35">
        <f>GeneraLambda!H35</f>
        <v>0</v>
      </c>
      <c r="N35" s="2" t="str">
        <f>N34&amp;","&amp;CHAR(10)&amp;varform(A35,B35,C35,D35,E35,F35,G35,H35,I35,J35)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5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</v>
      </c>
      <c r="P35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</v>
      </c>
      <c r="Q35" s="2"/>
      <c r="R35" s="2"/>
      <c r="S35" s="2"/>
      <c r="T35" t="str">
        <f>insertString(Appendice!C35,O35,P35,$E$5)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36" spans="1:20" ht="17.25" customHeight="1" x14ac:dyDescent="0.25">
      <c r="A36">
        <f>GeneraLambda!D36</f>
        <v>0</v>
      </c>
      <c r="B36" t="s">
        <v>84</v>
      </c>
      <c r="E36">
        <f>GeneraLambda!D36</f>
        <v>0</v>
      </c>
      <c r="G36" t="s">
        <v>85</v>
      </c>
      <c r="H36" t="s">
        <v>87</v>
      </c>
      <c r="I36" t="s">
        <v>87</v>
      </c>
      <c r="J36" t="s">
        <v>85</v>
      </c>
      <c r="K36" t="s">
        <v>85</v>
      </c>
      <c r="L36">
        <f>GeneraLambda!H36</f>
        <v>0</v>
      </c>
      <c r="N36" s="2" t="str">
        <f>N35&amp;","&amp;CHAR(10)&amp;varform(A36,B36,C36,D36,E36,F36,G36,H36,I36,J36)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6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</v>
      </c>
      <c r="P36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</v>
      </c>
      <c r="Q36" s="2"/>
      <c r="R36" s="2"/>
      <c r="S36" s="2"/>
      <c r="T36" t="str">
        <f>insertString(Appendice!C36,O36,P36,$E$5)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37" spans="1:20" ht="17.25" customHeight="1" x14ac:dyDescent="0.25">
      <c r="A37">
        <f>GeneraLambda!D37</f>
        <v>0</v>
      </c>
      <c r="B37" t="s">
        <v>84</v>
      </c>
      <c r="E37">
        <f>GeneraLambda!D37</f>
        <v>0</v>
      </c>
      <c r="G37" t="s">
        <v>85</v>
      </c>
      <c r="H37" t="s">
        <v>87</v>
      </c>
      <c r="I37" t="s">
        <v>87</v>
      </c>
      <c r="J37" t="s">
        <v>85</v>
      </c>
      <c r="K37" t="s">
        <v>85</v>
      </c>
      <c r="L37">
        <f>GeneraLambda!H37</f>
        <v>0</v>
      </c>
      <c r="N37" s="2" t="str">
        <f>N36&amp;","&amp;CHAR(10)&amp;varform(A37,B37,C37,D37,E37,F37,G37,H37,I37,J37)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7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</v>
      </c>
      <c r="P37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</v>
      </c>
      <c r="Q37" s="2"/>
      <c r="R37" s="2"/>
      <c r="S37" s="2"/>
      <c r="T37" t="str">
        <f>insertString(Appendice!C37,O37,P37,$E$5)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38" spans="1:20" ht="17.25" customHeight="1" x14ac:dyDescent="0.25">
      <c r="A38">
        <f>GeneraLambda!D38</f>
        <v>0</v>
      </c>
      <c r="B38" t="s">
        <v>84</v>
      </c>
      <c r="E38">
        <f>GeneraLambda!D38</f>
        <v>0</v>
      </c>
      <c r="G38" t="s">
        <v>85</v>
      </c>
      <c r="H38" t="s">
        <v>87</v>
      </c>
      <c r="I38" t="s">
        <v>87</v>
      </c>
      <c r="J38" t="s">
        <v>85</v>
      </c>
      <c r="K38" t="s">
        <v>85</v>
      </c>
      <c r="L38">
        <f>GeneraLambda!H38</f>
        <v>0</v>
      </c>
      <c r="N38" s="2" t="str">
        <f>N37&amp;","&amp;CHAR(10)&amp;varform(A38,B38,C38,D38,E38,F38,G38,H38,I38,J38)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8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</v>
      </c>
      <c r="P38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</v>
      </c>
      <c r="Q38" s="2"/>
      <c r="R38" s="2"/>
      <c r="S38" s="2"/>
      <c r="T38" t="str">
        <f>insertString(Appendice!C38,O38,P38,$E$5)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39" spans="1:20" ht="17.25" customHeight="1" x14ac:dyDescent="0.25">
      <c r="A39">
        <f>GeneraLambda!D39</f>
        <v>0</v>
      </c>
      <c r="B39" t="s">
        <v>84</v>
      </c>
      <c r="E39">
        <f>GeneraLambda!D39</f>
        <v>0</v>
      </c>
      <c r="G39" t="s">
        <v>85</v>
      </c>
      <c r="H39" t="s">
        <v>87</v>
      </c>
      <c r="I39" t="s">
        <v>87</v>
      </c>
      <c r="J39" t="s">
        <v>85</v>
      </c>
      <c r="K39" t="s">
        <v>85</v>
      </c>
      <c r="L39">
        <f>GeneraLambda!H39</f>
        <v>0</v>
      </c>
      <c r="N39" s="2" t="str">
        <f>N38&amp;","&amp;CHAR(10)&amp;varform(A39,B39,C39,D39,E39,F39,G39,H39,I39,J39)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39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</v>
      </c>
      <c r="P39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39" s="2"/>
      <c r="R39" s="2"/>
      <c r="S39" s="2"/>
      <c r="T39" t="str">
        <f>insertString(Appendice!C39,O39,P39,$E$5)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0" spans="1:20" ht="17.25" customHeight="1" x14ac:dyDescent="0.25">
      <c r="A40">
        <f>GeneraLambda!D40</f>
        <v>0</v>
      </c>
      <c r="B40" t="s">
        <v>84</v>
      </c>
      <c r="E40">
        <f>GeneraLambda!D40</f>
        <v>0</v>
      </c>
      <c r="G40" t="s">
        <v>85</v>
      </c>
      <c r="H40" t="s">
        <v>87</v>
      </c>
      <c r="I40" t="s">
        <v>87</v>
      </c>
      <c r="J40" t="s">
        <v>85</v>
      </c>
      <c r="K40" t="s">
        <v>85</v>
      </c>
      <c r="L40">
        <f>GeneraLambda!H40</f>
        <v>0</v>
      </c>
      <c r="N40" s="2" t="str">
        <f>N39&amp;","&amp;CHAR(10)&amp;varform(A40,B40,C40,D40,E40,F40,G40,H40,I40,J40)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40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</v>
      </c>
      <c r="P40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0" s="2"/>
      <c r="R40" s="2"/>
      <c r="S40" s="2"/>
      <c r="T40" t="str">
        <f>insertString(Appendice!C40,O40,P40,$E$5)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1" spans="1:20" ht="17.25" customHeight="1" x14ac:dyDescent="0.25">
      <c r="A41">
        <f>GeneraLambda!D41</f>
        <v>0</v>
      </c>
      <c r="B41" t="s">
        <v>84</v>
      </c>
      <c r="E41">
        <f>GeneraLambda!D41</f>
        <v>0</v>
      </c>
      <c r="G41" t="s">
        <v>85</v>
      </c>
      <c r="H41" t="s">
        <v>87</v>
      </c>
      <c r="I41" t="s">
        <v>87</v>
      </c>
      <c r="J41" t="s">
        <v>85</v>
      </c>
      <c r="K41" t="s">
        <v>85</v>
      </c>
      <c r="L41">
        <f>GeneraLambda!H41</f>
        <v>0</v>
      </c>
      <c r="N41" s="2" t="str">
        <f>N40&amp;","&amp;CHAR(10)&amp;varform(A41,B41,C41,D41,E41,F41,G41,H41,I41,J41)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41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</v>
      </c>
      <c r="P41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1" s="2"/>
      <c r="R41" s="2"/>
      <c r="S41" s="2"/>
      <c r="T41" t="str">
        <f>insertString(Appendice!C41,O41,P41,$E$5)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2" spans="1:20" ht="17.25" customHeight="1" x14ac:dyDescent="0.25">
      <c r="A42">
        <f>GeneraLambda!D42</f>
        <v>0</v>
      </c>
      <c r="B42" t="s">
        <v>84</v>
      </c>
      <c r="E42">
        <f>GeneraLambda!D42</f>
        <v>0</v>
      </c>
      <c r="G42" t="s">
        <v>85</v>
      </c>
      <c r="H42" t="s">
        <v>87</v>
      </c>
      <c r="I42" t="s">
        <v>87</v>
      </c>
      <c r="J42" t="s">
        <v>85</v>
      </c>
      <c r="K42" t="s">
        <v>85</v>
      </c>
      <c r="L42">
        <f>GeneraLambda!H42</f>
        <v>0</v>
      </c>
      <c r="N42" s="2" t="str">
        <f>N41&amp;","&amp;CHAR(10)&amp;varform(A42,B42,C42,D42,E42,F42,G42,H42,I42,J42)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42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</v>
      </c>
      <c r="P42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2" s="2"/>
      <c r="R42" s="2"/>
      <c r="S42" s="2"/>
      <c r="T42" t="str">
        <f>insertString(Appendice!C42,O42,P42,$E$5)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3" spans="1:20" ht="17.25" customHeight="1" x14ac:dyDescent="0.25">
      <c r="A43">
        <f>GeneraLambda!D43</f>
        <v>0</v>
      </c>
      <c r="B43" t="s">
        <v>84</v>
      </c>
      <c r="E43">
        <f>GeneraLambda!D43</f>
        <v>0</v>
      </c>
      <c r="G43" t="s">
        <v>85</v>
      </c>
      <c r="H43" t="s">
        <v>87</v>
      </c>
      <c r="I43" t="s">
        <v>87</v>
      </c>
      <c r="J43" t="s">
        <v>85</v>
      </c>
      <c r="K43" t="s">
        <v>85</v>
      </c>
      <c r="L43">
        <f>GeneraLambda!H43</f>
        <v>0</v>
      </c>
      <c r="N43" s="2" t="str">
        <f>N42&amp;","&amp;CHAR(10)&amp;varform(A43,B43,C43,D43,E43,F43,G43,H43,I43,J43)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43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</v>
      </c>
      <c r="P43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3" s="2"/>
      <c r="R43" s="2"/>
      <c r="S43" s="2"/>
      <c r="T43" t="str">
        <f>insertString(Appendice!C43,O43,P43,$E$5)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4" spans="1:20" ht="17.25" customHeight="1" x14ac:dyDescent="0.25">
      <c r="A44">
        <f>GeneraLambda!D44</f>
        <v>0</v>
      </c>
      <c r="B44" t="s">
        <v>84</v>
      </c>
      <c r="E44">
        <f>GeneraLambda!D44</f>
        <v>0</v>
      </c>
      <c r="G44" t="s">
        <v>85</v>
      </c>
      <c r="H44" t="s">
        <v>87</v>
      </c>
      <c r="I44" t="s">
        <v>87</v>
      </c>
      <c r="J44" t="s">
        <v>85</v>
      </c>
      <c r="K44" t="s">
        <v>85</v>
      </c>
      <c r="L44">
        <f>GeneraLambda!H44</f>
        <v>0</v>
      </c>
      <c r="N44" s="2" t="str">
        <f>N43&amp;","&amp;CHAR(10)&amp;varform(A44,B44,C44,D44,E44,F44,G44,H44,I44,J44)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44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</v>
      </c>
      <c r="P44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4" s="2"/>
      <c r="R44" s="2"/>
      <c r="S44" s="2"/>
      <c r="T44" t="str">
        <f>insertString(Appendice!C44,O44,P44,$E$5)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5" spans="1:20" ht="17.25" customHeight="1" x14ac:dyDescent="0.25">
      <c r="A45">
        <f>GeneraLambda!D45</f>
        <v>0</v>
      </c>
      <c r="B45" t="s">
        <v>84</v>
      </c>
      <c r="E45">
        <f>GeneraLambda!D45</f>
        <v>0</v>
      </c>
      <c r="G45" t="s">
        <v>85</v>
      </c>
      <c r="H45" t="s">
        <v>87</v>
      </c>
      <c r="I45" t="s">
        <v>87</v>
      </c>
      <c r="J45" t="s">
        <v>85</v>
      </c>
      <c r="K45" t="s">
        <v>85</v>
      </c>
      <c r="L45">
        <f>GeneraLambda!H45</f>
        <v>0</v>
      </c>
      <c r="N45" s="2" t="str">
        <f>N44&amp;","&amp;CHAR(10)&amp;varform(A45,B45,C45,D45,E45,F45,G45,H45,I45,J45)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O45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</v>
      </c>
      <c r="P45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5" s="2"/>
      <c r="R45" s="2"/>
      <c r="S45" s="2"/>
      <c r="T45" t="str">
        <f>insertString(Appendice!C45,O45,P45,$E$5)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6" spans="1:20" ht="17.25" customHeight="1" x14ac:dyDescent="0.25">
      <c r="A46">
        <f>GeneraLambda!D46</f>
        <v>0</v>
      </c>
      <c r="B46" t="s">
        <v>84</v>
      </c>
      <c r="E46">
        <f>GeneraLambda!D46</f>
        <v>0</v>
      </c>
      <c r="G46" t="s">
        <v>85</v>
      </c>
      <c r="H46" t="s">
        <v>87</v>
      </c>
      <c r="I46" t="s">
        <v>87</v>
      </c>
      <c r="J46" t="s">
        <v>85</v>
      </c>
      <c r="K46" t="s">
        <v>85</v>
      </c>
      <c r="L46">
        <f>GeneraLambda!H46</f>
        <v>0</v>
      </c>
      <c r="N46" s="2"/>
      <c r="O46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</v>
      </c>
      <c r="P46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6" s="2"/>
      <c r="R46" s="2"/>
      <c r="S46" s="2"/>
      <c r="T46" t="str">
        <f>insertString(Appendice!C46,O46,P46,$E$5)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7" spans="1:20" ht="17.25" customHeight="1" x14ac:dyDescent="0.25">
      <c r="A47">
        <f>GeneraLambda!D47</f>
        <v>0</v>
      </c>
      <c r="B47" t="s">
        <v>84</v>
      </c>
      <c r="E47">
        <f>GeneraLambda!D47</f>
        <v>0</v>
      </c>
      <c r="G47" t="s">
        <v>85</v>
      </c>
      <c r="H47" t="s">
        <v>87</v>
      </c>
      <c r="I47" t="s">
        <v>87</v>
      </c>
      <c r="J47" t="s">
        <v>85</v>
      </c>
      <c r="K47" t="s">
        <v>85</v>
      </c>
      <c r="L47">
        <f>GeneraLambda!H47</f>
        <v>0</v>
      </c>
      <c r="N47" s="2"/>
      <c r="O47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</v>
      </c>
      <c r="P47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7" s="2"/>
      <c r="R47" s="2"/>
      <c r="S47" s="2"/>
      <c r="T47" t="str">
        <f>insertString(Appendice!C47,O47,P47,$E$5)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8" spans="1:20" ht="17.25" customHeight="1" x14ac:dyDescent="0.25">
      <c r="A48">
        <f>GeneraLambda!D48</f>
        <v>0</v>
      </c>
      <c r="B48" t="s">
        <v>84</v>
      </c>
      <c r="E48">
        <f>GeneraLambda!D48</f>
        <v>0</v>
      </c>
      <c r="G48" t="s">
        <v>85</v>
      </c>
      <c r="H48" t="s">
        <v>87</v>
      </c>
      <c r="I48" t="s">
        <v>87</v>
      </c>
      <c r="J48" t="s">
        <v>85</v>
      </c>
      <c r="K48" t="s">
        <v>85</v>
      </c>
      <c r="L48">
        <f>GeneraLambda!H48</f>
        <v>0</v>
      </c>
      <c r="N48" s="2"/>
      <c r="O48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</v>
      </c>
      <c r="P48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8" s="2"/>
      <c r="R48" s="2"/>
      <c r="S48" s="2"/>
      <c r="T48" t="str">
        <f>insertString(Appendice!C48,O48,P48,$E$5)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49" spans="1:20" ht="17.25" customHeight="1" x14ac:dyDescent="0.25">
      <c r="A49">
        <f>GeneraLambda!D49</f>
        <v>0</v>
      </c>
      <c r="B49" t="s">
        <v>84</v>
      </c>
      <c r="E49">
        <f>GeneraLambda!D49</f>
        <v>0</v>
      </c>
      <c r="G49" t="s">
        <v>85</v>
      </c>
      <c r="H49" t="s">
        <v>87</v>
      </c>
      <c r="I49" t="s">
        <v>87</v>
      </c>
      <c r="J49" t="s">
        <v>85</v>
      </c>
      <c r="K49" t="s">
        <v>85</v>
      </c>
      <c r="L49">
        <f>GeneraLambda!H49</f>
        <v>0</v>
      </c>
      <c r="N49" s="2"/>
      <c r="O49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</v>
      </c>
      <c r="P49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49" s="2"/>
      <c r="R49" s="2"/>
      <c r="S49" s="2"/>
      <c r="T49" t="str">
        <f>insertString(Appendice!C49,O49,P49,$E$5)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0" spans="1:20" ht="17.25" customHeight="1" x14ac:dyDescent="0.25">
      <c r="A50">
        <f>GeneraLambda!D50</f>
        <v>0</v>
      </c>
      <c r="B50" t="s">
        <v>84</v>
      </c>
      <c r="E50">
        <f>GeneraLambda!D50</f>
        <v>0</v>
      </c>
      <c r="G50" t="s">
        <v>85</v>
      </c>
      <c r="H50" t="s">
        <v>87</v>
      </c>
      <c r="I50" t="s">
        <v>87</v>
      </c>
      <c r="J50" t="s">
        <v>85</v>
      </c>
      <c r="K50" t="s">
        <v>85</v>
      </c>
      <c r="L50">
        <f>GeneraLambda!H50</f>
        <v>0</v>
      </c>
      <c r="N50" s="2"/>
      <c r="O50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</v>
      </c>
      <c r="P50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0" s="2"/>
      <c r="R50" s="2"/>
      <c r="S50" s="2"/>
      <c r="T50" t="str">
        <f>insertString(Appendice!C50,O50,P50,$E$5)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1" spans="1:20" ht="17.25" customHeight="1" x14ac:dyDescent="0.25">
      <c r="A51">
        <f>GeneraLambda!D51</f>
        <v>0</v>
      </c>
      <c r="B51" t="s">
        <v>84</v>
      </c>
      <c r="E51">
        <f>GeneraLambda!D51</f>
        <v>0</v>
      </c>
      <c r="G51" t="s">
        <v>85</v>
      </c>
      <c r="H51" t="s">
        <v>87</v>
      </c>
      <c r="I51" t="s">
        <v>87</v>
      </c>
      <c r="J51" t="s">
        <v>85</v>
      </c>
      <c r="K51" t="s">
        <v>85</v>
      </c>
      <c r="L51">
        <f>GeneraLambda!H51</f>
        <v>0</v>
      </c>
      <c r="N51" s="2"/>
      <c r="O51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</v>
      </c>
      <c r="P51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1" s="2"/>
      <c r="R51" s="2"/>
      <c r="S51" s="2"/>
      <c r="T51" t="str">
        <f>insertString(Appendice!C51,O51,P51,$E$5)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2" spans="1:20" ht="17.25" customHeight="1" x14ac:dyDescent="0.25">
      <c r="A52">
        <f>GeneraLambda!D52</f>
        <v>0</v>
      </c>
      <c r="B52" t="s">
        <v>84</v>
      </c>
      <c r="E52">
        <f>GeneraLambda!D52</f>
        <v>0</v>
      </c>
      <c r="G52" t="s">
        <v>85</v>
      </c>
      <c r="H52" t="s">
        <v>87</v>
      </c>
      <c r="I52" t="s">
        <v>87</v>
      </c>
      <c r="J52" t="s">
        <v>85</v>
      </c>
      <c r="K52" t="s">
        <v>85</v>
      </c>
      <c r="L52">
        <f>GeneraLambda!H52</f>
        <v>0</v>
      </c>
      <c r="N52" s="2"/>
      <c r="O52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</v>
      </c>
      <c r="P52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2" s="2"/>
      <c r="R52" s="2"/>
      <c r="S52" s="2"/>
      <c r="T52" t="str">
        <f>insertString(Appendice!C52,O52,P52,$E$5)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3" spans="1:20" ht="17.25" customHeight="1" x14ac:dyDescent="0.25">
      <c r="A53">
        <f>GeneraLambda!D53</f>
        <v>0</v>
      </c>
      <c r="B53" t="s">
        <v>84</v>
      </c>
      <c r="E53">
        <f>GeneraLambda!D53</f>
        <v>0</v>
      </c>
      <c r="G53" t="s">
        <v>85</v>
      </c>
      <c r="H53" t="s">
        <v>87</v>
      </c>
      <c r="I53" t="s">
        <v>87</v>
      </c>
      <c r="J53" t="s">
        <v>85</v>
      </c>
      <c r="K53" t="s">
        <v>85</v>
      </c>
      <c r="L53">
        <f>GeneraLambda!H53</f>
        <v>0</v>
      </c>
      <c r="N53" s="2"/>
      <c r="O53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</v>
      </c>
      <c r="P53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3" s="2"/>
      <c r="R53" s="2"/>
      <c r="S53" s="2"/>
      <c r="T53" t="str">
        <f>insertString(Appendice!C53,O53,P53,$E$5)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4" spans="1:20" ht="17.25" customHeight="1" x14ac:dyDescent="0.25">
      <c r="A54">
        <f>GeneraLambda!D54</f>
        <v>0</v>
      </c>
      <c r="B54" t="s">
        <v>84</v>
      </c>
      <c r="E54">
        <f>GeneraLambda!D54</f>
        <v>0</v>
      </c>
      <c r="G54" t="s">
        <v>85</v>
      </c>
      <c r="H54" t="s">
        <v>87</v>
      </c>
      <c r="I54" t="s">
        <v>87</v>
      </c>
      <c r="J54" t="s">
        <v>85</v>
      </c>
      <c r="K54" t="s">
        <v>85</v>
      </c>
      <c r="L54">
        <f>GeneraLambda!H54</f>
        <v>0</v>
      </c>
      <c r="N54" s="2"/>
      <c r="O54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</v>
      </c>
      <c r="P54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4" s="2"/>
      <c r="R54" s="2"/>
      <c r="S54" s="2"/>
      <c r="T54" t="str">
        <f>insertString(Appendice!C54,O54,P54,$E$5)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5" spans="1:20" ht="17.25" customHeight="1" x14ac:dyDescent="0.25">
      <c r="A55">
        <f>GeneraLambda!D55</f>
        <v>0</v>
      </c>
      <c r="B55" t="s">
        <v>84</v>
      </c>
      <c r="E55">
        <f>GeneraLambda!D55</f>
        <v>0</v>
      </c>
      <c r="G55" t="s">
        <v>85</v>
      </c>
      <c r="H55" t="s">
        <v>87</v>
      </c>
      <c r="I55" t="s">
        <v>87</v>
      </c>
      <c r="J55" t="s">
        <v>85</v>
      </c>
      <c r="K55" t="s">
        <v>85</v>
      </c>
      <c r="L55">
        <f>GeneraLambda!H55</f>
        <v>0</v>
      </c>
      <c r="N55" s="2"/>
      <c r="O55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</v>
      </c>
      <c r="P55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5" s="2"/>
      <c r="R55" s="2"/>
      <c r="S55" s="2"/>
      <c r="T55" t="str">
        <f>insertString(Appendice!C55,O55,P55,$E$5)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6" spans="1:20" ht="17.25" customHeight="1" x14ac:dyDescent="0.25">
      <c r="A56">
        <f>GeneraLambda!D56</f>
        <v>0</v>
      </c>
      <c r="B56" t="s">
        <v>84</v>
      </c>
      <c r="E56">
        <f>GeneraLambda!D56</f>
        <v>0</v>
      </c>
      <c r="G56" t="s">
        <v>85</v>
      </c>
      <c r="H56" t="s">
        <v>87</v>
      </c>
      <c r="I56" t="s">
        <v>87</v>
      </c>
      <c r="J56" t="s">
        <v>85</v>
      </c>
      <c r="K56" t="s">
        <v>85</v>
      </c>
      <c r="L56">
        <f>GeneraLambda!H56</f>
        <v>0</v>
      </c>
      <c r="N56" s="2"/>
      <c r="O56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</v>
      </c>
      <c r="P56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6" s="2"/>
      <c r="R56" s="2"/>
      <c r="S56" s="2"/>
      <c r="T56" t="str">
        <f>insertString(Appendice!C56,O56,P56,$E$5)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7" spans="1:20" ht="17.25" customHeight="1" x14ac:dyDescent="0.25">
      <c r="A57">
        <f>GeneraLambda!D57</f>
        <v>0</v>
      </c>
      <c r="B57" t="s">
        <v>84</v>
      </c>
      <c r="E57">
        <f>GeneraLambda!D57</f>
        <v>0</v>
      </c>
      <c r="G57" t="s">
        <v>85</v>
      </c>
      <c r="H57" t="s">
        <v>87</v>
      </c>
      <c r="I57" t="s">
        <v>87</v>
      </c>
      <c r="J57" t="s">
        <v>85</v>
      </c>
      <c r="K57" t="s">
        <v>85</v>
      </c>
      <c r="L57">
        <f>GeneraLambda!H57</f>
        <v>0</v>
      </c>
      <c r="N57" s="2"/>
      <c r="O57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</v>
      </c>
      <c r="P57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7" s="2"/>
      <c r="R57" s="2"/>
      <c r="S57" s="2"/>
      <c r="T57" t="str">
        <f>insertString(Appendice!C57,O57,P57,$E$5)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8" spans="1:20" ht="17.25" customHeight="1" x14ac:dyDescent="0.25">
      <c r="A58">
        <f>GeneraLambda!D58</f>
        <v>0</v>
      </c>
      <c r="B58" t="s">
        <v>84</v>
      </c>
      <c r="E58">
        <f>GeneraLambda!D58</f>
        <v>0</v>
      </c>
      <c r="G58" t="s">
        <v>85</v>
      </c>
      <c r="H58" t="s">
        <v>87</v>
      </c>
      <c r="I58" t="s">
        <v>87</v>
      </c>
      <c r="J58" t="s">
        <v>85</v>
      </c>
      <c r="K58" t="s">
        <v>85</v>
      </c>
      <c r="L58">
        <f>GeneraLambda!H58</f>
        <v>0</v>
      </c>
      <c r="N58" s="2"/>
      <c r="O58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</v>
      </c>
      <c r="P58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8" s="2"/>
      <c r="R58" s="2"/>
      <c r="S58" s="2"/>
      <c r="T58" t="str">
        <f>insertString(Appendice!C58,O58,P58,$E$5)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59" spans="1:20" ht="17.25" customHeight="1" x14ac:dyDescent="0.25">
      <c r="A59">
        <f>GeneraLambda!D59</f>
        <v>0</v>
      </c>
      <c r="B59" t="s">
        <v>84</v>
      </c>
      <c r="E59">
        <f>GeneraLambda!D59</f>
        <v>0</v>
      </c>
      <c r="G59" t="s">
        <v>85</v>
      </c>
      <c r="H59" t="s">
        <v>87</v>
      </c>
      <c r="I59" t="s">
        <v>87</v>
      </c>
      <c r="J59" t="s">
        <v>85</v>
      </c>
      <c r="K59" t="s">
        <v>85</v>
      </c>
      <c r="L59">
        <f>GeneraLambda!H59</f>
        <v>0</v>
      </c>
      <c r="N59" s="2"/>
      <c r="O59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</v>
      </c>
      <c r="P59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59" s="2"/>
      <c r="R59" s="2"/>
      <c r="S59" s="2"/>
      <c r="T59" t="str">
        <f>insertString(Appendice!C59,O59,P59,$E$5)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0" spans="1:20" ht="17.25" customHeight="1" x14ac:dyDescent="0.25">
      <c r="A60">
        <f>GeneraLambda!D60</f>
        <v>0</v>
      </c>
      <c r="B60" t="s">
        <v>84</v>
      </c>
      <c r="E60">
        <f>GeneraLambda!D60</f>
        <v>0</v>
      </c>
      <c r="G60" t="s">
        <v>85</v>
      </c>
      <c r="H60" t="s">
        <v>87</v>
      </c>
      <c r="I60" t="s">
        <v>87</v>
      </c>
      <c r="J60" t="s">
        <v>85</v>
      </c>
      <c r="K60" t="s">
        <v>85</v>
      </c>
      <c r="L60">
        <f>GeneraLambda!H60</f>
        <v>0</v>
      </c>
      <c r="N60" s="2"/>
      <c r="O60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</v>
      </c>
      <c r="P60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0" s="2"/>
      <c r="R60" s="2"/>
      <c r="S60" s="2"/>
      <c r="T60" t="str">
        <f>insertString(Appendice!C60,O60,P60,$E$5)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1" spans="1:20" ht="17.25" customHeight="1" x14ac:dyDescent="0.25">
      <c r="A61">
        <f>GeneraLambda!D61</f>
        <v>0</v>
      </c>
      <c r="B61" t="s">
        <v>84</v>
      </c>
      <c r="E61">
        <f>GeneraLambda!D61</f>
        <v>0</v>
      </c>
      <c r="G61" t="s">
        <v>85</v>
      </c>
      <c r="H61" t="s">
        <v>87</v>
      </c>
      <c r="I61" t="s">
        <v>87</v>
      </c>
      <c r="J61" t="s">
        <v>85</v>
      </c>
      <c r="K61" t="s">
        <v>85</v>
      </c>
      <c r="L61">
        <f>GeneraLambda!H61</f>
        <v>0</v>
      </c>
      <c r="N61" s="2"/>
      <c r="O61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id_tipo_processo000000000000000000000000000000000000000000000</v>
      </c>
      <c r="P61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1" s="2"/>
      <c r="R61" s="2"/>
      <c r="S61" s="2"/>
      <c r="T61" t="str">
        <f>insertString(Appendice!C61,O61,P61,$E$5)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2" spans="1:20" ht="17.25" customHeight="1" x14ac:dyDescent="0.25">
      <c r="A62">
        <f>GeneraLambda!D62</f>
        <v>0</v>
      </c>
      <c r="B62" t="s">
        <v>84</v>
      </c>
      <c r="E62">
        <f>GeneraLambda!D62</f>
        <v>0</v>
      </c>
      <c r="G62" t="s">
        <v>85</v>
      </c>
      <c r="H62" t="s">
        <v>87</v>
      </c>
      <c r="I62" t="s">
        <v>87</v>
      </c>
      <c r="J62" t="s">
        <v>85</v>
      </c>
      <c r="K62" t="s">
        <v>85</v>
      </c>
      <c r="L62">
        <f>GeneraLambda!H62</f>
        <v>0</v>
      </c>
      <c r="N62" s="2"/>
      <c r="O62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id_tipo_processo0000000000000000000000000000000000000000000000</v>
      </c>
      <c r="P62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2" s="2"/>
      <c r="R62" s="2"/>
      <c r="S62" s="2"/>
      <c r="T62" t="str">
        <f>insertString(Appendice!C62,O62,P62,$E$5)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3" spans="1:20" ht="17.25" customHeight="1" x14ac:dyDescent="0.25">
      <c r="A63">
        <f>GeneraLambda!D63</f>
        <v>0</v>
      </c>
      <c r="B63" t="s">
        <v>84</v>
      </c>
      <c r="E63">
        <f>GeneraLambda!D63</f>
        <v>0</v>
      </c>
      <c r="G63" t="s">
        <v>85</v>
      </c>
      <c r="H63" t="s">
        <v>87</v>
      </c>
      <c r="I63" t="s">
        <v>87</v>
      </c>
      <c r="J63" t="s">
        <v>85</v>
      </c>
      <c r="K63" t="s">
        <v>85</v>
      </c>
      <c r="L63">
        <f>GeneraLambda!H63</f>
        <v>0</v>
      </c>
      <c r="N63" s="2"/>
      <c r="O63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id_tipo_processo00000000000000000000000000000000000000000000000</v>
      </c>
      <c r="P63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3" s="2"/>
      <c r="R63" s="2"/>
      <c r="S63" s="2"/>
      <c r="T63" t="str">
        <f>insertString(Appendice!C63,O63,P63,$E$5)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4" spans="1:20" ht="17.25" customHeight="1" x14ac:dyDescent="0.25">
      <c r="A64">
        <f>GeneraLambda!D64</f>
        <v>0</v>
      </c>
      <c r="B64" t="s">
        <v>84</v>
      </c>
      <c r="E64">
        <f>GeneraLambda!D64</f>
        <v>0</v>
      </c>
      <c r="G64" t="s">
        <v>85</v>
      </c>
      <c r="H64" t="s">
        <v>87</v>
      </c>
      <c r="I64" t="s">
        <v>87</v>
      </c>
      <c r="J64" t="s">
        <v>85</v>
      </c>
      <c r="K64" t="s">
        <v>85</v>
      </c>
      <c r="L64">
        <f>GeneraLambda!H64</f>
        <v>0</v>
      </c>
      <c r="N64" s="2"/>
      <c r="O64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id_tipo_processo000000000000000000000000000000000000000000000000</v>
      </c>
      <c r="P64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4" s="2"/>
      <c r="R64" s="2"/>
      <c r="S64" s="2"/>
      <c r="T64" t="str">
        <f>insertString(Appendice!C64,O64,P64,$E$5)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5" spans="1:20" ht="17.25" customHeight="1" x14ac:dyDescent="0.25">
      <c r="A65">
        <f>GeneraLambda!D65</f>
        <v>0</v>
      </c>
      <c r="B65" t="s">
        <v>84</v>
      </c>
      <c r="E65">
        <f>GeneraLambda!D65</f>
        <v>0</v>
      </c>
      <c r="G65" t="s">
        <v>85</v>
      </c>
      <c r="H65" t="s">
        <v>87</v>
      </c>
      <c r="I65" t="s">
        <v>87</v>
      </c>
      <c r="J65" t="s">
        <v>85</v>
      </c>
      <c r="K65" t="s">
        <v>85</v>
      </c>
      <c r="L65">
        <f>GeneraLambda!H65</f>
        <v>0</v>
      </c>
      <c r="N65" s="2"/>
      <c r="O65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id_tipo_processo0000000000000000000000000000000000000000000000000</v>
      </c>
      <c r="P65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5" s="2"/>
      <c r="R65" s="2"/>
      <c r="S65" s="2"/>
      <c r="T65" t="str">
        <f>insertString(Appendice!C65,O65,P65,$E$5)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6" spans="1:20" ht="17.25" customHeight="1" x14ac:dyDescent="0.25">
      <c r="A66">
        <f>GeneraLambda!D66</f>
        <v>0</v>
      </c>
      <c r="B66" t="s">
        <v>84</v>
      </c>
      <c r="E66">
        <f>GeneraLambda!D66</f>
        <v>0</v>
      </c>
      <c r="G66" t="s">
        <v>85</v>
      </c>
      <c r="H66" t="s">
        <v>87</v>
      </c>
      <c r="I66" t="s">
        <v>87</v>
      </c>
      <c r="J66" t="s">
        <v>85</v>
      </c>
      <c r="K66" t="s">
        <v>85</v>
      </c>
      <c r="L66">
        <f>GeneraLambda!H66</f>
        <v>0</v>
      </c>
      <c r="N66" s="2"/>
      <c r="O66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id_tipo_processo00000000000000000000000000000000000000000000000000</v>
      </c>
      <c r="P66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6" s="2"/>
      <c r="R66" s="2"/>
      <c r="S66" s="2"/>
      <c r="T66" t="str">
        <f>insertString(Appendice!C66,O66,P66,$E$5)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7" spans="1:20" ht="17.25" customHeight="1" x14ac:dyDescent="0.25">
      <c r="A67">
        <f>GeneraLambda!D67</f>
        <v>0</v>
      </c>
      <c r="B67" t="s">
        <v>84</v>
      </c>
      <c r="E67">
        <f>GeneraLambda!D67</f>
        <v>0</v>
      </c>
      <c r="G67" t="s">
        <v>85</v>
      </c>
      <c r="H67" t="s">
        <v>87</v>
      </c>
      <c r="I67" t="s">
        <v>87</v>
      </c>
      <c r="J67" t="s">
        <v>85</v>
      </c>
      <c r="K67" t="s">
        <v>85</v>
      </c>
      <c r="L67">
        <f>GeneraLambda!H67</f>
        <v>0</v>
      </c>
      <c r="N67" s="2"/>
      <c r="O67" s="2" t="str">
        <f t="shared" si="0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</v>
      </c>
      <c r="P67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7" s="2"/>
      <c r="R67" s="2"/>
      <c r="S67" s="2"/>
      <c r="T67" t="str">
        <f>insertString(Appendice!C67,O67,P67,$E$5)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8" spans="1:20" ht="17.25" customHeight="1" x14ac:dyDescent="0.25">
      <c r="A68">
        <f>GeneraLambda!D68</f>
        <v>0</v>
      </c>
      <c r="B68" t="s">
        <v>84</v>
      </c>
      <c r="E68">
        <f>GeneraLambda!D68</f>
        <v>0</v>
      </c>
      <c r="G68" t="s">
        <v>85</v>
      </c>
      <c r="H68" t="s">
        <v>87</v>
      </c>
      <c r="I68" t="s">
        <v>87</v>
      </c>
      <c r="J68" t="s">
        <v>85</v>
      </c>
      <c r="K68" t="s">
        <v>85</v>
      </c>
      <c r="L68">
        <f>GeneraLambda!H68</f>
        <v>0</v>
      </c>
      <c r="N68" s="2"/>
      <c r="O68" s="2" t="str">
        <f t="shared" ref="O68:O82" si="2">O67&amp;elencocampi(A68,K68,L69)</f>
        <v>codice_azienda, codice, descrizione_breve, id_procedura_parent, ordinamento, tree_path, frequenza, strumento_informatico, id_centro_gest, codice_part, descrizione, tipo_procedura, stato_attuazione, id_tipo_processo0000000000000000000000000000000000000000000000000000</v>
      </c>
      <c r="P68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8" s="2"/>
      <c r="R68" s="2"/>
      <c r="S68" s="2"/>
      <c r="T68" t="str">
        <f>insertString(Appendice!C68,O68,P68,$E$5)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69" spans="1:20" ht="17.25" customHeight="1" x14ac:dyDescent="0.25">
      <c r="A69">
        <f>GeneraLambda!D69</f>
        <v>0</v>
      </c>
      <c r="B69" t="s">
        <v>84</v>
      </c>
      <c r="E69">
        <f>GeneraLambda!D69</f>
        <v>0</v>
      </c>
      <c r="G69" t="s">
        <v>85</v>
      </c>
      <c r="H69" t="s">
        <v>87</v>
      </c>
      <c r="I69" t="s">
        <v>87</v>
      </c>
      <c r="J69" t="s">
        <v>85</v>
      </c>
      <c r="K69" t="s">
        <v>85</v>
      </c>
      <c r="L69">
        <f>GeneraLambda!H69</f>
        <v>0</v>
      </c>
      <c r="N69" s="2"/>
      <c r="O69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</v>
      </c>
      <c r="P69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69" s="2"/>
      <c r="R69" s="2"/>
      <c r="S69" s="2"/>
      <c r="T69" t="str">
        <f>insertString(Appendice!C69,O69,P69,$E$5)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0" spans="1:20" ht="17.25" customHeight="1" x14ac:dyDescent="0.25">
      <c r="A70">
        <f>GeneraLambda!D70</f>
        <v>0</v>
      </c>
      <c r="B70" t="s">
        <v>84</v>
      </c>
      <c r="E70">
        <f>GeneraLambda!D70</f>
        <v>0</v>
      </c>
      <c r="G70" t="s">
        <v>85</v>
      </c>
      <c r="H70" t="s">
        <v>87</v>
      </c>
      <c r="I70" t="s">
        <v>87</v>
      </c>
      <c r="J70" t="s">
        <v>85</v>
      </c>
      <c r="K70" t="s">
        <v>85</v>
      </c>
      <c r="L70">
        <f>GeneraLambda!H70</f>
        <v>0</v>
      </c>
      <c r="N70" s="2"/>
      <c r="O70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</v>
      </c>
      <c r="P70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0" s="2"/>
      <c r="R70" s="2"/>
      <c r="S70" s="2"/>
      <c r="T70" t="str">
        <f>insertString(Appendice!C70,O70,P70,$E$5)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1" spans="1:20" ht="17.25" customHeight="1" x14ac:dyDescent="0.25">
      <c r="A71">
        <f>GeneraLambda!D71</f>
        <v>0</v>
      </c>
      <c r="B71" t="s">
        <v>84</v>
      </c>
      <c r="E71">
        <f>GeneraLambda!D71</f>
        <v>0</v>
      </c>
      <c r="G71" t="s">
        <v>85</v>
      </c>
      <c r="H71" t="s">
        <v>87</v>
      </c>
      <c r="I71" t="s">
        <v>87</v>
      </c>
      <c r="J71" t="s">
        <v>85</v>
      </c>
      <c r="K71" t="s">
        <v>85</v>
      </c>
      <c r="L71">
        <f>GeneraLambda!H71</f>
        <v>0</v>
      </c>
      <c r="N71" s="2"/>
      <c r="O71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</v>
      </c>
      <c r="P71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1" s="2"/>
      <c r="R71" s="2"/>
      <c r="S71" s="2"/>
      <c r="T71" t="str">
        <f>insertString(Appendice!C71,O71,P71,$E$5)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2" spans="1:20" ht="17.25" customHeight="1" x14ac:dyDescent="0.25">
      <c r="A72">
        <f>GeneraLambda!D72</f>
        <v>0</v>
      </c>
      <c r="B72" t="s">
        <v>84</v>
      </c>
      <c r="E72">
        <f>GeneraLambda!D72</f>
        <v>0</v>
      </c>
      <c r="G72" t="s">
        <v>85</v>
      </c>
      <c r="H72" t="s">
        <v>87</v>
      </c>
      <c r="I72" t="s">
        <v>87</v>
      </c>
      <c r="J72" t="s">
        <v>85</v>
      </c>
      <c r="K72" t="s">
        <v>85</v>
      </c>
      <c r="L72">
        <f>GeneraLambda!H72</f>
        <v>0</v>
      </c>
      <c r="N72" s="2"/>
      <c r="O72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</v>
      </c>
      <c r="P72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2" s="2"/>
      <c r="R72" s="2"/>
      <c r="S72" s="2"/>
      <c r="T72" t="str">
        <f>insertString(Appendice!C72,O72,P72,$E$5)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3" spans="1:20" ht="17.25" customHeight="1" x14ac:dyDescent="0.25">
      <c r="A73">
        <f>GeneraLambda!D73</f>
        <v>0</v>
      </c>
      <c r="B73" t="s">
        <v>84</v>
      </c>
      <c r="E73">
        <f>GeneraLambda!D73</f>
        <v>0</v>
      </c>
      <c r="G73" t="s">
        <v>85</v>
      </c>
      <c r="H73" t="s">
        <v>87</v>
      </c>
      <c r="I73" t="s">
        <v>87</v>
      </c>
      <c r="J73" t="s">
        <v>85</v>
      </c>
      <c r="K73" t="s">
        <v>85</v>
      </c>
      <c r="L73">
        <f>GeneraLambda!H73</f>
        <v>0</v>
      </c>
      <c r="N73" s="2"/>
      <c r="O73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</v>
      </c>
      <c r="P73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3" s="2"/>
      <c r="R73" s="2"/>
      <c r="S73" s="2"/>
      <c r="T73" t="str">
        <f>insertString(Appendice!C73,O73,P73,$E$5)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4" spans="1:20" ht="17.25" customHeight="1" x14ac:dyDescent="0.25">
      <c r="A74">
        <f>GeneraLambda!D74</f>
        <v>0</v>
      </c>
      <c r="B74" t="s">
        <v>84</v>
      </c>
      <c r="E74">
        <f>GeneraLambda!D74</f>
        <v>0</v>
      </c>
      <c r="G74" t="s">
        <v>85</v>
      </c>
      <c r="H74" t="s">
        <v>87</v>
      </c>
      <c r="I74" t="s">
        <v>87</v>
      </c>
      <c r="J74" t="s">
        <v>85</v>
      </c>
      <c r="K74" t="s">
        <v>85</v>
      </c>
      <c r="L74">
        <f>GeneraLambda!H74</f>
        <v>0</v>
      </c>
      <c r="N74" s="2"/>
      <c r="O74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</v>
      </c>
      <c r="P74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4" s="2"/>
      <c r="R74" s="2"/>
      <c r="S74" s="2"/>
      <c r="T74" t="str">
        <f>insertString(Appendice!C74,O74,P74,$E$5)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5" spans="1:20" ht="17.25" customHeight="1" x14ac:dyDescent="0.25">
      <c r="A75">
        <f>GeneraLambda!D75</f>
        <v>0</v>
      </c>
      <c r="B75" t="s">
        <v>84</v>
      </c>
      <c r="E75">
        <f>GeneraLambda!D75</f>
        <v>0</v>
      </c>
      <c r="G75" t="s">
        <v>85</v>
      </c>
      <c r="H75" t="s">
        <v>87</v>
      </c>
      <c r="I75" t="s">
        <v>87</v>
      </c>
      <c r="J75" t="s">
        <v>85</v>
      </c>
      <c r="K75" t="s">
        <v>85</v>
      </c>
      <c r="L75">
        <f>GeneraLambda!H75</f>
        <v>0</v>
      </c>
      <c r="N75" s="2"/>
      <c r="O75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</v>
      </c>
      <c r="P75" s="2" t="str">
        <f t="shared" si="1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5" s="2"/>
      <c r="R75" s="2"/>
      <c r="S75" s="2"/>
      <c r="T75" t="str">
        <f>insertString(Appendice!C75,O75,P75,$E$5)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6" spans="1:20" ht="17.25" customHeight="1" x14ac:dyDescent="0.25">
      <c r="A76">
        <f>GeneraLambda!D76</f>
        <v>0</v>
      </c>
      <c r="B76" t="s">
        <v>84</v>
      </c>
      <c r="E76">
        <f>GeneraLambda!D76</f>
        <v>0</v>
      </c>
      <c r="G76" t="s">
        <v>85</v>
      </c>
      <c r="H76" t="s">
        <v>87</v>
      </c>
      <c r="I76" t="s">
        <v>87</v>
      </c>
      <c r="J76" t="s">
        <v>85</v>
      </c>
      <c r="K76" t="s">
        <v>85</v>
      </c>
      <c r="L76">
        <f>GeneraLambda!H76</f>
        <v>0</v>
      </c>
      <c r="N76" s="2"/>
      <c r="O76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id_tipo_processo000000000000000000000000000000000000000000000000000000000000</v>
      </c>
      <c r="P76" s="2" t="str">
        <f t="shared" ref="P76:P82" si="3">P75&amp;elencovalori(A76,K76,L77,L76)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6" s="2"/>
      <c r="R76" s="2"/>
      <c r="S76" s="2"/>
      <c r="T76" t="str">
        <f>insertString(Appendice!C76,O76,P76,$E$5)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7" spans="1:20" ht="17.25" customHeight="1" x14ac:dyDescent="0.25">
      <c r="A77">
        <f>GeneraLambda!D77</f>
        <v>0</v>
      </c>
      <c r="B77" t="s">
        <v>84</v>
      </c>
      <c r="E77">
        <f>GeneraLambda!D77</f>
        <v>0</v>
      </c>
      <c r="G77" t="s">
        <v>85</v>
      </c>
      <c r="H77" t="s">
        <v>87</v>
      </c>
      <c r="I77" t="s">
        <v>87</v>
      </c>
      <c r="J77" t="s">
        <v>85</v>
      </c>
      <c r="K77" t="s">
        <v>85</v>
      </c>
      <c r="L77">
        <f>GeneraLambda!H77</f>
        <v>0</v>
      </c>
      <c r="N77" s="2"/>
      <c r="O77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id_tipo_processo0000000000000000000000000000000000000000000000000000000000000</v>
      </c>
      <c r="P77" s="2" t="str">
        <f t="shared" si="3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7" s="2"/>
      <c r="R77" s="2"/>
      <c r="S77" s="2"/>
      <c r="T77" t="str">
        <f>insertString(Appendice!C77,O77,P77,$E$5)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8" spans="1:20" ht="17.25" customHeight="1" x14ac:dyDescent="0.25">
      <c r="A78">
        <f>GeneraLambda!D78</f>
        <v>0</v>
      </c>
      <c r="B78" t="s">
        <v>84</v>
      </c>
      <c r="E78">
        <f>GeneraLambda!D78</f>
        <v>0</v>
      </c>
      <c r="G78" t="s">
        <v>85</v>
      </c>
      <c r="H78" t="s">
        <v>87</v>
      </c>
      <c r="I78" t="s">
        <v>87</v>
      </c>
      <c r="J78" t="s">
        <v>85</v>
      </c>
      <c r="K78" t="s">
        <v>85</v>
      </c>
      <c r="L78">
        <f>GeneraLambda!H78</f>
        <v>0</v>
      </c>
      <c r="N78" s="2"/>
      <c r="O78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id_tipo_processo00000000000000000000000000000000000000000000000000000000000000</v>
      </c>
      <c r="P78" s="2" t="str">
        <f t="shared" si="3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8" s="2"/>
      <c r="R78" s="2"/>
      <c r="S78" s="2"/>
      <c r="T78" t="str">
        <f>insertString(Appendice!C78,O78,P78,$E$5)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79" spans="1:20" ht="17.25" customHeight="1" x14ac:dyDescent="0.25">
      <c r="A79">
        <f>GeneraLambda!D79</f>
        <v>0</v>
      </c>
      <c r="B79" t="s">
        <v>84</v>
      </c>
      <c r="E79">
        <f>GeneraLambda!D79</f>
        <v>0</v>
      </c>
      <c r="G79" t="s">
        <v>85</v>
      </c>
      <c r="H79" t="s">
        <v>87</v>
      </c>
      <c r="I79" t="s">
        <v>87</v>
      </c>
      <c r="J79" t="s">
        <v>85</v>
      </c>
      <c r="K79" t="s">
        <v>85</v>
      </c>
      <c r="L79">
        <f>GeneraLambda!H79</f>
        <v>0</v>
      </c>
      <c r="N79" s="2"/>
      <c r="O79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id_tipo_processo000000000000000000000000000000000000000000000000000000000000000</v>
      </c>
      <c r="P79" s="2" t="str">
        <f t="shared" si="3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79" s="2"/>
      <c r="R79" s="2"/>
      <c r="S79" s="2"/>
      <c r="T79" t="str">
        <f>insertString(Appendice!C79,O79,P79,$E$5)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80" spans="1:20" ht="17.25" customHeight="1" x14ac:dyDescent="0.25">
      <c r="A80">
        <f>GeneraLambda!D80</f>
        <v>0</v>
      </c>
      <c r="B80" t="s">
        <v>84</v>
      </c>
      <c r="E80">
        <f>GeneraLambda!D80</f>
        <v>0</v>
      </c>
      <c r="G80" t="s">
        <v>85</v>
      </c>
      <c r="H80" t="s">
        <v>87</v>
      </c>
      <c r="I80" t="s">
        <v>87</v>
      </c>
      <c r="J80" t="s">
        <v>85</v>
      </c>
      <c r="K80" t="s">
        <v>85</v>
      </c>
      <c r="L80">
        <f>GeneraLambda!H80</f>
        <v>0</v>
      </c>
      <c r="N80" s="2"/>
      <c r="O80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id_tipo_processo0000000000000000000000000000000000000000000000000000000000000000</v>
      </c>
      <c r="P80" s="2" t="str">
        <f t="shared" si="3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80" s="2"/>
      <c r="R80" s="2"/>
      <c r="S80" s="2"/>
      <c r="T80" t="str">
        <f>insertString(Appendice!C80,O80,P80,$E$5)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81" spans="1:20" ht="17.25" customHeight="1" x14ac:dyDescent="0.25">
      <c r="A81">
        <f>GeneraLambda!D81</f>
        <v>0</v>
      </c>
      <c r="B81" t="s">
        <v>84</v>
      </c>
      <c r="E81">
        <f>GeneraLambda!D81</f>
        <v>0</v>
      </c>
      <c r="G81" t="s">
        <v>85</v>
      </c>
      <c r="H81" t="s">
        <v>87</v>
      </c>
      <c r="I81" t="s">
        <v>87</v>
      </c>
      <c r="J81" t="s">
        <v>85</v>
      </c>
      <c r="K81" t="s">
        <v>85</v>
      </c>
      <c r="L81">
        <f>GeneraLambda!H81</f>
        <v>0</v>
      </c>
      <c r="N81" s="2"/>
      <c r="O81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id_tipo_processo00000000000000000000000000000000000000000000000000000000000000000</v>
      </c>
      <c r="P81" s="2" t="str">
        <f t="shared" si="3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81" s="2"/>
      <c r="R81" s="2"/>
      <c r="S81" s="2"/>
      <c r="T81" t="str">
        <f>insertString(Appendice!C81,O81,P81,$E$5)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82" spans="1:20" ht="17.25" customHeight="1" x14ac:dyDescent="0.25">
      <c r="A82">
        <f>GeneraLambda!D82</f>
        <v>0</v>
      </c>
      <c r="B82" t="s">
        <v>84</v>
      </c>
      <c r="E82">
        <f>GeneraLambda!D82</f>
        <v>0</v>
      </c>
      <c r="G82" t="s">
        <v>85</v>
      </c>
      <c r="H82" t="s">
        <v>87</v>
      </c>
      <c r="I82" t="s">
        <v>87</v>
      </c>
      <c r="J82" t="s">
        <v>85</v>
      </c>
      <c r="K82" t="s">
        <v>85</v>
      </c>
      <c r="L82">
        <f>GeneraLambda!H82</f>
        <v>0</v>
      </c>
      <c r="N82" s="2"/>
      <c r="O82" s="2" t="str">
        <f t="shared" si="2"/>
        <v>codice_azienda, codice, descrizione_breve, id_procedura_parent, ordinamento, tree_path, frequenza, strumento_informatico, id_centro_gest, codice_part, descrizione, tipo_procedura, stato_attuazione, id_tipo_processo000000000000000000000000000000000000000000000000000000000000000000</v>
      </c>
      <c r="P82" s="2" t="str">
        <f t="shared" si="3"/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</v>
      </c>
      <c r="Q82" s="2"/>
      <c r="R82" s="2"/>
      <c r="S82" s="2"/>
      <c r="T82" t="str">
        <f>insertString(Appendice!C82,O82,P82,$E$5)</f>
        <v>`INSERT INTO entrasp._x000D_(codice_azienda, codice, descrizione_breve, id_procedura_parent, ordinamento, tree_path, frequenza, strumento_informatico, id_centro_gest, codice_part, descrizione, tipo_procedura, stato_attuazione, id_tipo_processo000000000000000000000000000000000000000000000000000000000000000000)_x000D_Values_x000D_(${body['codice_azienda'],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${body['0'])_x000D_RETURNING id_procedura;`</v>
      </c>
    </row>
    <row r="83" spans="1:20" ht="17.25" customHeight="1" x14ac:dyDescent="0.25">
      <c r="N83" s="2"/>
      <c r="O83" s="2"/>
      <c r="P83" s="2"/>
      <c r="Q83" s="2"/>
      <c r="R83" s="2"/>
      <c r="S83" s="2"/>
    </row>
    <row r="84" spans="1:20" ht="17.25" customHeight="1" x14ac:dyDescent="0.25">
      <c r="N84" s="2"/>
      <c r="O84" s="2"/>
      <c r="P84" s="2"/>
      <c r="Q84" s="2"/>
      <c r="R84" s="2"/>
      <c r="S84" s="2"/>
    </row>
    <row r="85" spans="1:20" ht="17.25" customHeight="1" x14ac:dyDescent="0.25">
      <c r="N85" s="2"/>
      <c r="O85" s="2"/>
      <c r="P85" s="2"/>
      <c r="Q85" s="2"/>
      <c r="R85" s="2"/>
      <c r="S85" s="2"/>
    </row>
    <row r="86" spans="1:20" ht="17.25" customHeight="1" x14ac:dyDescent="0.25">
      <c r="N86" s="2"/>
      <c r="O86" s="2"/>
      <c r="P86" s="2"/>
      <c r="Q86" s="2"/>
      <c r="R86" s="2"/>
      <c r="S86" s="2"/>
    </row>
    <row r="87" spans="1:20" ht="17.25" customHeight="1" x14ac:dyDescent="0.25">
      <c r="N87" s="2"/>
      <c r="O87" s="2"/>
      <c r="P87" s="2"/>
      <c r="Q87" s="2"/>
      <c r="R87" s="2"/>
      <c r="S87" s="2"/>
    </row>
    <row r="88" spans="1:20" ht="17.25" customHeight="1" x14ac:dyDescent="0.25">
      <c r="N88" s="2"/>
      <c r="O88" s="2"/>
      <c r="P88" s="2"/>
      <c r="Q88" s="2"/>
      <c r="R88" s="2"/>
      <c r="S88" s="2"/>
    </row>
    <row r="89" spans="1:20" ht="17.25" customHeight="1" x14ac:dyDescent="0.25">
      <c r="N89" s="2"/>
      <c r="O89" s="2"/>
      <c r="P89" s="2"/>
      <c r="Q89" s="2"/>
      <c r="R89" s="2"/>
      <c r="S89" s="2"/>
    </row>
    <row r="90" spans="1:20" ht="17.25" customHeight="1" x14ac:dyDescent="0.25">
      <c r="N90" s="2"/>
      <c r="O90" s="2"/>
      <c r="P90" s="2"/>
      <c r="Q90" s="2"/>
      <c r="R90" s="2"/>
      <c r="S90" s="2"/>
    </row>
    <row r="91" spans="1:20" ht="17.25" customHeight="1" x14ac:dyDescent="0.25">
      <c r="N91" s="2"/>
      <c r="O91" s="2"/>
      <c r="P91" s="2"/>
      <c r="Q91" s="2"/>
      <c r="R91" s="2"/>
      <c r="S91" s="2"/>
    </row>
    <row r="92" spans="1:20" ht="17.25" customHeight="1" x14ac:dyDescent="0.25">
      <c r="N92" s="2"/>
      <c r="O92" s="2"/>
      <c r="P92" s="2"/>
      <c r="Q92" s="2"/>
      <c r="R92" s="2"/>
      <c r="S92" s="2"/>
    </row>
    <row r="93" spans="1:20" ht="17.25" customHeight="1" x14ac:dyDescent="0.25">
      <c r="N93" s="2"/>
      <c r="O93" s="2"/>
      <c r="P93" s="2"/>
      <c r="Q93" s="2"/>
      <c r="R93" s="2"/>
      <c r="S93" s="2"/>
    </row>
    <row r="94" spans="1:20" ht="17.25" customHeight="1" x14ac:dyDescent="0.25">
      <c r="N94" s="2"/>
      <c r="O94" s="2"/>
      <c r="P94" s="2"/>
      <c r="Q94" s="2"/>
      <c r="R94" s="2"/>
      <c r="S94" s="2"/>
    </row>
    <row r="95" spans="1:20" ht="17.25" customHeight="1" x14ac:dyDescent="0.25">
      <c r="N95" s="2"/>
      <c r="O95" s="2"/>
      <c r="P95" s="2"/>
      <c r="Q95" s="2"/>
      <c r="R95" s="2"/>
      <c r="S95" s="2"/>
    </row>
    <row r="96" spans="1:20" ht="17.25" customHeight="1" x14ac:dyDescent="0.25">
      <c r="N96" s="2"/>
      <c r="O96" s="2"/>
      <c r="P96" s="2"/>
      <c r="Q96" s="2"/>
      <c r="R96" s="2"/>
      <c r="S96" s="2"/>
    </row>
    <row r="97" spans="2:19" ht="17.25" customHeight="1" x14ac:dyDescent="0.25">
      <c r="N97" s="2"/>
      <c r="O97" s="2"/>
      <c r="P97" s="2"/>
      <c r="Q97" s="2"/>
      <c r="R97" s="2"/>
      <c r="S97" s="2"/>
    </row>
    <row r="98" spans="2:19" ht="17.25" customHeight="1" x14ac:dyDescent="0.25">
      <c r="N98" s="2"/>
      <c r="O98" s="2"/>
      <c r="P98" s="2"/>
      <c r="Q98" s="2"/>
      <c r="R98" s="2"/>
      <c r="S98" s="2"/>
    </row>
    <row r="99" spans="2:19" ht="17.25" customHeight="1" x14ac:dyDescent="0.25">
      <c r="N99" s="2"/>
      <c r="O99" s="2"/>
      <c r="P99" s="2"/>
      <c r="Q99" s="2"/>
      <c r="R99" s="2"/>
      <c r="S99" s="2"/>
    </row>
    <row r="100" spans="2:19" ht="17.25" customHeight="1" x14ac:dyDescent="0.25">
      <c r="B100" t="s">
        <v>84</v>
      </c>
      <c r="G100" t="s">
        <v>87</v>
      </c>
      <c r="H100" t="s">
        <v>87</v>
      </c>
      <c r="I100" t="s">
        <v>87</v>
      </c>
      <c r="N100" s="2"/>
      <c r="O100" s="2"/>
      <c r="P100" s="2"/>
      <c r="Q100" s="2"/>
      <c r="R100" s="2"/>
      <c r="S100" s="2"/>
    </row>
    <row r="101" spans="2:19" ht="17.25" customHeight="1" x14ac:dyDescent="0.25">
      <c r="B101" t="s">
        <v>86</v>
      </c>
      <c r="G101" t="s">
        <v>85</v>
      </c>
      <c r="H101" t="s">
        <v>85</v>
      </c>
      <c r="I101" t="s">
        <v>85</v>
      </c>
      <c r="N101" s="2"/>
      <c r="O101" s="2"/>
      <c r="P101" s="2"/>
      <c r="Q101" s="2"/>
      <c r="R101" s="2"/>
      <c r="S101" s="2"/>
    </row>
    <row r="102" spans="2:19" ht="17.25" customHeight="1" x14ac:dyDescent="0.25">
      <c r="N102" s="2"/>
      <c r="O102" s="2"/>
      <c r="P102" s="2"/>
      <c r="Q102" s="2"/>
      <c r="R102" s="2"/>
      <c r="S102" s="2"/>
    </row>
    <row r="103" spans="2:19" ht="17.25" customHeight="1" x14ac:dyDescent="0.25">
      <c r="N103" s="2"/>
      <c r="O103" s="2"/>
      <c r="P103" s="2"/>
      <c r="Q103" s="2"/>
      <c r="R103" s="2"/>
      <c r="S103" s="2"/>
    </row>
    <row r="104" spans="2:19" ht="17.25" customHeight="1" x14ac:dyDescent="0.25">
      <c r="N104" s="2"/>
      <c r="O104" s="2"/>
      <c r="P104" s="2"/>
      <c r="Q104" s="2"/>
      <c r="R104" s="2"/>
      <c r="S104" s="2"/>
    </row>
    <row r="105" spans="2:19" ht="17.25" customHeight="1" x14ac:dyDescent="0.25">
      <c r="N105" s="2"/>
      <c r="O105" s="2"/>
      <c r="P105" s="2"/>
      <c r="Q105" s="2"/>
      <c r="R105" s="2"/>
      <c r="S105" s="2"/>
    </row>
    <row r="106" spans="2:19" ht="17.25" customHeight="1" x14ac:dyDescent="0.25">
      <c r="N106" s="2"/>
      <c r="O106" s="2"/>
      <c r="P106" s="2"/>
      <c r="Q106" s="2"/>
      <c r="R106" s="2"/>
      <c r="S106" s="2"/>
    </row>
    <row r="107" spans="2:19" ht="17.25" customHeight="1" x14ac:dyDescent="0.25">
      <c r="N107" s="2"/>
      <c r="O107" s="2"/>
      <c r="P107" s="2"/>
      <c r="Q107" s="2"/>
      <c r="R107" s="2"/>
      <c r="S107" s="2"/>
    </row>
    <row r="108" spans="2:19" ht="17.25" customHeight="1" x14ac:dyDescent="0.25">
      <c r="N108" s="2"/>
      <c r="O108" s="2"/>
      <c r="P108" s="2"/>
      <c r="Q108" s="2"/>
      <c r="R108" s="2"/>
      <c r="S108" s="2"/>
    </row>
    <row r="109" spans="2:19" ht="17.25" customHeight="1" x14ac:dyDescent="0.25">
      <c r="N109" s="2"/>
      <c r="O109" s="2"/>
      <c r="P109" s="2"/>
      <c r="Q109" s="2"/>
      <c r="R109" s="2"/>
      <c r="S109" s="2"/>
    </row>
    <row r="110" spans="2:19" ht="17.25" customHeight="1" x14ac:dyDescent="0.25">
      <c r="N110" s="2"/>
      <c r="O110" s="2"/>
      <c r="P110" s="2"/>
      <c r="Q110" s="2"/>
      <c r="R110" s="2"/>
      <c r="S110" s="2"/>
    </row>
    <row r="111" spans="2:19" ht="17.25" customHeight="1" x14ac:dyDescent="0.25">
      <c r="N111" s="2"/>
      <c r="O111" s="2"/>
      <c r="P111" s="2"/>
      <c r="Q111" s="2"/>
      <c r="R111" s="2"/>
      <c r="S111" s="2"/>
    </row>
    <row r="112" spans="2:19" ht="17.25" customHeight="1" x14ac:dyDescent="0.25">
      <c r="N112" s="2"/>
      <c r="O112" s="2"/>
      <c r="P112" s="2"/>
      <c r="Q112" s="2"/>
      <c r="R112" s="2"/>
      <c r="S112" s="2"/>
    </row>
    <row r="113" spans="14:19" ht="17.25" customHeight="1" x14ac:dyDescent="0.25">
      <c r="N113" s="2"/>
      <c r="O113" s="2"/>
      <c r="P113" s="2"/>
      <c r="Q113" s="2"/>
      <c r="R113" s="2"/>
      <c r="S113" s="2"/>
    </row>
    <row r="114" spans="14:19" ht="17.25" customHeight="1" x14ac:dyDescent="0.25">
      <c r="N114" s="2"/>
      <c r="O114" s="2"/>
      <c r="P114" s="2"/>
      <c r="Q114" s="2"/>
      <c r="R114" s="2"/>
      <c r="S114" s="2"/>
    </row>
    <row r="115" spans="14:19" ht="17.25" customHeight="1" x14ac:dyDescent="0.25">
      <c r="N115" s="2"/>
      <c r="O115" s="2"/>
      <c r="P115" s="2"/>
      <c r="Q115" s="2"/>
      <c r="R115" s="2"/>
      <c r="S115" s="2"/>
    </row>
    <row r="116" spans="14:19" ht="17.25" customHeight="1" x14ac:dyDescent="0.25">
      <c r="N116" s="2"/>
      <c r="O116" s="2"/>
      <c r="P116" s="2"/>
      <c r="Q116" s="2"/>
      <c r="R116" s="2"/>
      <c r="S116" s="2"/>
    </row>
    <row r="117" spans="14:19" ht="17.25" customHeight="1" x14ac:dyDescent="0.25">
      <c r="N117" s="2"/>
      <c r="O117" s="2"/>
      <c r="P117" s="2"/>
      <c r="Q117" s="2"/>
      <c r="R117" s="2"/>
      <c r="S117" s="2"/>
    </row>
    <row r="118" spans="14:19" ht="17.25" customHeight="1" x14ac:dyDescent="0.25">
      <c r="N118" s="2"/>
      <c r="O118" s="2"/>
      <c r="P118" s="2"/>
      <c r="Q118" s="2"/>
      <c r="R118" s="2"/>
      <c r="S118" s="2"/>
    </row>
    <row r="119" spans="14:19" ht="17.25" customHeight="1" x14ac:dyDescent="0.25">
      <c r="N119" s="2"/>
      <c r="O119" s="2"/>
      <c r="P119" s="2"/>
      <c r="Q119" s="2"/>
      <c r="R119" s="2"/>
      <c r="S119" s="2"/>
    </row>
    <row r="120" spans="14:19" ht="17.25" customHeight="1" x14ac:dyDescent="0.25">
      <c r="N120" s="2"/>
      <c r="O120" s="2"/>
      <c r="P120" s="2"/>
      <c r="Q120" s="2"/>
      <c r="R120" s="2"/>
      <c r="S120" s="2"/>
    </row>
    <row r="121" spans="14:19" ht="17.25" customHeight="1" x14ac:dyDescent="0.25">
      <c r="N121" s="2"/>
      <c r="O121" s="2"/>
      <c r="P121" s="2"/>
      <c r="Q121" s="2"/>
      <c r="R121" s="2"/>
      <c r="S121" s="2"/>
    </row>
    <row r="122" spans="14:19" ht="17.25" customHeight="1" x14ac:dyDescent="0.25">
      <c r="N122" s="2"/>
      <c r="O122" s="2"/>
      <c r="P122" s="2"/>
      <c r="Q122" s="2"/>
      <c r="R122" s="2"/>
      <c r="S122" s="2"/>
    </row>
    <row r="123" spans="14:19" ht="17.25" customHeight="1" x14ac:dyDescent="0.25">
      <c r="N123" s="2"/>
      <c r="O123" s="2"/>
      <c r="P123" s="2"/>
      <c r="Q123" s="2"/>
      <c r="R123" s="2"/>
      <c r="S123" s="2"/>
    </row>
    <row r="124" spans="14:19" ht="17.25" customHeight="1" x14ac:dyDescent="0.25">
      <c r="N124" s="2"/>
      <c r="O124" s="2"/>
      <c r="P124" s="2"/>
      <c r="Q124" s="2"/>
      <c r="R124" s="2"/>
      <c r="S124" s="2"/>
    </row>
    <row r="125" spans="14:19" ht="17.25" customHeight="1" x14ac:dyDescent="0.25">
      <c r="N125" s="2"/>
      <c r="O125" s="2"/>
      <c r="P125" s="2"/>
      <c r="Q125" s="2"/>
      <c r="R125" s="2"/>
      <c r="S125" s="2"/>
    </row>
    <row r="126" spans="14:19" ht="17.25" customHeight="1" x14ac:dyDescent="0.25">
      <c r="N126" s="2"/>
      <c r="O126" s="2"/>
      <c r="P126" s="2"/>
      <c r="Q126" s="2"/>
      <c r="R126" s="2"/>
      <c r="S126" s="2"/>
    </row>
    <row r="127" spans="14:19" ht="17.25" customHeight="1" x14ac:dyDescent="0.25">
      <c r="N127" s="2"/>
      <c r="O127" s="2"/>
      <c r="P127" s="2"/>
      <c r="Q127" s="2"/>
      <c r="R127" s="2"/>
      <c r="S127" s="2"/>
    </row>
    <row r="128" spans="14:19" ht="17.25" customHeight="1" x14ac:dyDescent="0.25">
      <c r="N128" s="2"/>
      <c r="O128" s="2"/>
      <c r="P128" s="2"/>
      <c r="Q128" s="2"/>
      <c r="R128" s="2"/>
      <c r="S128" s="2"/>
    </row>
    <row r="129" spans="14:19" ht="17.25" customHeight="1" x14ac:dyDescent="0.25">
      <c r="N129" s="2"/>
      <c r="O129" s="2"/>
      <c r="P129" s="2"/>
      <c r="Q129" s="2"/>
      <c r="R129" s="2"/>
      <c r="S129" s="2"/>
    </row>
    <row r="130" spans="14:19" ht="17.25" customHeight="1" x14ac:dyDescent="0.25">
      <c r="N130" s="2"/>
      <c r="O130" s="2"/>
      <c r="P130" s="2"/>
      <c r="Q130" s="2"/>
      <c r="R130" s="2"/>
      <c r="S130" s="2"/>
    </row>
    <row r="131" spans="14:19" ht="17.25" customHeight="1" x14ac:dyDescent="0.25">
      <c r="N131" s="2"/>
      <c r="O131" s="2"/>
      <c r="P131" s="2"/>
      <c r="Q131" s="2"/>
      <c r="R131" s="2"/>
      <c r="S131" s="2"/>
    </row>
    <row r="132" spans="14:19" ht="17.25" customHeight="1" x14ac:dyDescent="0.25">
      <c r="N132" s="2"/>
      <c r="O132" s="2"/>
      <c r="P132" s="2"/>
      <c r="Q132" s="2"/>
      <c r="R132" s="2"/>
      <c r="S132" s="2"/>
    </row>
    <row r="133" spans="14:19" ht="17.25" customHeight="1" x14ac:dyDescent="0.25">
      <c r="N133" s="2"/>
      <c r="O133" s="2"/>
      <c r="P133" s="2"/>
      <c r="Q133" s="2"/>
      <c r="R133" s="2"/>
      <c r="S133" s="2"/>
    </row>
    <row r="134" spans="14:19" ht="17.25" customHeight="1" x14ac:dyDescent="0.25">
      <c r="N134" s="2"/>
      <c r="O134" s="2"/>
      <c r="P134" s="2"/>
      <c r="Q134" s="2"/>
      <c r="R134" s="2"/>
      <c r="S134" s="2"/>
    </row>
    <row r="135" spans="14:19" ht="17.25" customHeight="1" x14ac:dyDescent="0.25">
      <c r="N135" s="2"/>
      <c r="O135" s="2"/>
      <c r="P135" s="2"/>
      <c r="Q135" s="2"/>
      <c r="R135" s="2"/>
      <c r="S135" s="2"/>
    </row>
    <row r="136" spans="14:19" ht="17.25" customHeight="1" x14ac:dyDescent="0.25">
      <c r="N136" s="2"/>
      <c r="O136" s="2"/>
      <c r="P136" s="2"/>
      <c r="Q136" s="2"/>
      <c r="R136" s="2"/>
      <c r="S136" s="2"/>
    </row>
    <row r="137" spans="14:19" ht="17.25" customHeight="1" x14ac:dyDescent="0.25">
      <c r="N137" s="2"/>
      <c r="O137" s="2"/>
      <c r="P137" s="2"/>
      <c r="Q137" s="2"/>
      <c r="R137" s="2"/>
      <c r="S137" s="2"/>
    </row>
    <row r="138" spans="14:19" ht="17.25" customHeight="1" x14ac:dyDescent="0.25">
      <c r="N138" s="2"/>
      <c r="O138" s="2"/>
      <c r="P138" s="2"/>
      <c r="Q138" s="2"/>
      <c r="R138" s="2"/>
      <c r="S138" s="2"/>
    </row>
    <row r="139" spans="14:19" ht="17.25" customHeight="1" x14ac:dyDescent="0.25">
      <c r="N139" s="2"/>
      <c r="O139" s="2"/>
      <c r="P139" s="2"/>
      <c r="Q139" s="2"/>
      <c r="R139" s="2"/>
      <c r="S139" s="2"/>
    </row>
    <row r="140" spans="14:19" ht="17.25" customHeight="1" x14ac:dyDescent="0.25">
      <c r="N140" s="2"/>
      <c r="O140" s="2"/>
      <c r="P140" s="2"/>
      <c r="Q140" s="2"/>
      <c r="R140" s="2"/>
      <c r="S140" s="2"/>
    </row>
    <row r="141" spans="14:19" ht="17.25" customHeight="1" x14ac:dyDescent="0.25">
      <c r="N141" s="2"/>
      <c r="O141" s="2"/>
      <c r="P141" s="2"/>
      <c r="Q141" s="2"/>
      <c r="R141" s="2"/>
      <c r="S141" s="2"/>
    </row>
    <row r="142" spans="14:19" ht="17.25" customHeight="1" x14ac:dyDescent="0.25">
      <c r="N142" s="2"/>
      <c r="O142" s="2"/>
      <c r="P142" s="2"/>
      <c r="Q142" s="2"/>
      <c r="R142" s="2"/>
      <c r="S142" s="2"/>
    </row>
    <row r="143" spans="14:19" ht="17.25" customHeight="1" x14ac:dyDescent="0.25">
      <c r="N143" s="2"/>
      <c r="O143" s="2"/>
      <c r="P143" s="2"/>
      <c r="Q143" s="2"/>
      <c r="R143" s="2"/>
      <c r="S143" s="2"/>
    </row>
    <row r="144" spans="14:19" ht="17.25" customHeight="1" x14ac:dyDescent="0.25">
      <c r="N144" s="2"/>
      <c r="O144" s="2"/>
      <c r="P144" s="2"/>
      <c r="Q144" s="2"/>
      <c r="R144" s="2"/>
      <c r="S144" s="2"/>
    </row>
    <row r="145" spans="14:19" ht="17.25" customHeight="1" x14ac:dyDescent="0.25">
      <c r="N145" s="2"/>
      <c r="O145" s="2"/>
      <c r="P145" s="2"/>
      <c r="Q145" s="2"/>
      <c r="R145" s="2"/>
      <c r="S145" s="2"/>
    </row>
    <row r="146" spans="14:19" ht="17.25" customHeight="1" x14ac:dyDescent="0.25">
      <c r="N146" s="2"/>
      <c r="O146" s="2"/>
      <c r="P146" s="2"/>
      <c r="Q146" s="2"/>
      <c r="R146" s="2"/>
      <c r="S146" s="2"/>
    </row>
    <row r="147" spans="14:19" ht="17.25" customHeight="1" x14ac:dyDescent="0.25">
      <c r="N147" s="2"/>
      <c r="O147" s="2"/>
      <c r="P147" s="2"/>
      <c r="Q147" s="2"/>
      <c r="R147" s="2"/>
      <c r="S147" s="2"/>
    </row>
    <row r="148" spans="14:19" ht="17.25" customHeight="1" x14ac:dyDescent="0.25">
      <c r="N148" s="2"/>
      <c r="O148" s="2"/>
      <c r="P148" s="2"/>
      <c r="Q148" s="2"/>
      <c r="R148" s="2"/>
      <c r="S148" s="2"/>
    </row>
    <row r="149" spans="14:19" ht="17.25" customHeight="1" x14ac:dyDescent="0.25">
      <c r="N149" s="2"/>
      <c r="O149" s="2"/>
      <c r="P149" s="2"/>
      <c r="Q149" s="2"/>
      <c r="R149" s="2"/>
      <c r="S149" s="2"/>
    </row>
    <row r="150" spans="14:19" ht="17.25" customHeight="1" x14ac:dyDescent="0.25">
      <c r="N150" s="2"/>
      <c r="O150" s="2"/>
      <c r="P150" s="2"/>
      <c r="Q150" s="2"/>
      <c r="R150" s="2"/>
      <c r="S150" s="2"/>
    </row>
    <row r="151" spans="14:19" ht="17.25" customHeight="1" x14ac:dyDescent="0.25">
      <c r="N151" s="2"/>
      <c r="O151" s="2"/>
      <c r="P151" s="2"/>
      <c r="Q151" s="2"/>
      <c r="R151" s="2"/>
      <c r="S151" s="2"/>
    </row>
    <row r="152" spans="14:19" ht="17.25" customHeight="1" x14ac:dyDescent="0.25">
      <c r="N152" s="2"/>
      <c r="O152" s="2"/>
      <c r="P152" s="2"/>
      <c r="Q152" s="2"/>
      <c r="R152" s="2"/>
      <c r="S152" s="2"/>
    </row>
    <row r="153" spans="14:19" ht="17.25" customHeight="1" x14ac:dyDescent="0.25">
      <c r="N153" s="2"/>
      <c r="O153" s="2"/>
      <c r="P153" s="2"/>
      <c r="Q153" s="2"/>
      <c r="R153" s="2"/>
      <c r="S153" s="2"/>
    </row>
    <row r="154" spans="14:19" ht="17.25" customHeight="1" x14ac:dyDescent="0.25">
      <c r="N154" s="2"/>
      <c r="O154" s="2"/>
      <c r="P154" s="2"/>
      <c r="Q154" s="2"/>
      <c r="R154" s="2"/>
      <c r="S154" s="2"/>
    </row>
    <row r="155" spans="14:19" ht="17.25" customHeight="1" x14ac:dyDescent="0.25">
      <c r="N155" s="2"/>
      <c r="O155" s="2"/>
      <c r="P155" s="2"/>
      <c r="Q155" s="2"/>
      <c r="R155" s="2"/>
      <c r="S155" s="2"/>
    </row>
    <row r="156" spans="14:19" ht="17.25" customHeight="1" x14ac:dyDescent="0.25">
      <c r="N156" s="2"/>
      <c r="O156" s="2"/>
      <c r="P156" s="2"/>
      <c r="Q156" s="2"/>
      <c r="R156" s="2"/>
      <c r="S156" s="2"/>
    </row>
    <row r="157" spans="14:19" ht="17.25" customHeight="1" x14ac:dyDescent="0.25">
      <c r="N157" s="2"/>
      <c r="O157" s="2"/>
      <c r="P157" s="2"/>
      <c r="Q157" s="2"/>
      <c r="R157" s="2"/>
      <c r="S157" s="2"/>
    </row>
    <row r="158" spans="14:19" ht="17.25" customHeight="1" x14ac:dyDescent="0.25">
      <c r="N158" s="2"/>
      <c r="O158" s="2"/>
      <c r="P158" s="2"/>
      <c r="Q158" s="2"/>
      <c r="R158" s="2"/>
      <c r="S158" s="2"/>
    </row>
    <row r="159" spans="14:19" ht="17.25" customHeight="1" x14ac:dyDescent="0.25">
      <c r="N159" s="2"/>
      <c r="O159" s="2"/>
      <c r="P159" s="2"/>
      <c r="Q159" s="2"/>
      <c r="R159" s="2"/>
      <c r="S159" s="2"/>
    </row>
    <row r="160" spans="14:19" ht="17.25" customHeight="1" x14ac:dyDescent="0.25">
      <c r="N160" s="2"/>
      <c r="O160" s="2"/>
      <c r="P160" s="2"/>
      <c r="Q160" s="2"/>
      <c r="R160" s="2"/>
      <c r="S160" s="2"/>
    </row>
    <row r="161" spans="14:19" ht="17.25" customHeight="1" x14ac:dyDescent="0.25">
      <c r="N161" s="2"/>
      <c r="O161" s="2"/>
      <c r="P161" s="2"/>
      <c r="Q161" s="2"/>
      <c r="R161" s="2"/>
      <c r="S161" s="2"/>
    </row>
    <row r="162" spans="14:19" ht="17.25" customHeight="1" x14ac:dyDescent="0.25">
      <c r="N162" s="2"/>
      <c r="O162" s="2"/>
      <c r="P162" s="2"/>
      <c r="Q162" s="2"/>
      <c r="R162" s="2"/>
      <c r="S162" s="2"/>
    </row>
    <row r="163" spans="14:19" ht="17.25" customHeight="1" x14ac:dyDescent="0.25">
      <c r="N163" s="2"/>
      <c r="O163" s="2"/>
      <c r="P163" s="2"/>
      <c r="Q163" s="2"/>
      <c r="R163" s="2"/>
      <c r="S163" s="2"/>
    </row>
    <row r="164" spans="14:19" ht="17.25" customHeight="1" x14ac:dyDescent="0.25">
      <c r="N164" s="2"/>
      <c r="O164" s="2"/>
      <c r="P164" s="2"/>
      <c r="Q164" s="2"/>
      <c r="R164" s="2"/>
      <c r="S164" s="2"/>
    </row>
    <row r="165" spans="14:19" ht="17.25" customHeight="1" x14ac:dyDescent="0.25">
      <c r="N165" s="2"/>
      <c r="O165" s="2"/>
      <c r="P165" s="2"/>
      <c r="Q165" s="2"/>
      <c r="R165" s="2"/>
      <c r="S165" s="2"/>
    </row>
    <row r="166" spans="14:19" ht="17.25" customHeight="1" x14ac:dyDescent="0.25">
      <c r="N166" s="2"/>
      <c r="O166" s="2"/>
      <c r="P166" s="2"/>
      <c r="Q166" s="2"/>
      <c r="R166" s="2"/>
      <c r="S166" s="2"/>
    </row>
    <row r="167" spans="14:19" ht="17.25" customHeight="1" x14ac:dyDescent="0.25">
      <c r="N167" s="2"/>
      <c r="O167" s="2"/>
      <c r="P167" s="2"/>
      <c r="Q167" s="2"/>
      <c r="R167" s="2"/>
      <c r="S167" s="2"/>
    </row>
    <row r="168" spans="14:19" ht="17.25" customHeight="1" x14ac:dyDescent="0.25">
      <c r="N168" s="2"/>
      <c r="O168" s="2"/>
      <c r="P168" s="2"/>
      <c r="Q168" s="2"/>
      <c r="R168" s="2"/>
      <c r="S168" s="2"/>
    </row>
    <row r="169" spans="14:19" ht="17.25" customHeight="1" x14ac:dyDescent="0.25">
      <c r="N169" s="2"/>
      <c r="O169" s="2"/>
      <c r="P169" s="2"/>
      <c r="Q169" s="2"/>
      <c r="R169" s="2"/>
      <c r="S169" s="2"/>
    </row>
    <row r="170" spans="14:19" ht="17.25" customHeight="1" x14ac:dyDescent="0.25">
      <c r="N170" s="2"/>
      <c r="O170" s="2"/>
      <c r="P170" s="2"/>
      <c r="Q170" s="2"/>
      <c r="R170" s="2"/>
      <c r="S170" s="2"/>
    </row>
    <row r="171" spans="14:19" ht="17.25" customHeight="1" x14ac:dyDescent="0.25">
      <c r="N171" s="2"/>
      <c r="O171" s="2"/>
      <c r="P171" s="2"/>
      <c r="Q171" s="2"/>
      <c r="R171" s="2"/>
      <c r="S171" s="2"/>
    </row>
    <row r="172" spans="14:19" ht="17.25" customHeight="1" x14ac:dyDescent="0.25">
      <c r="N172" s="2"/>
      <c r="O172" s="2"/>
      <c r="P172" s="2"/>
      <c r="Q172" s="2"/>
      <c r="R172" s="2"/>
      <c r="S172" s="2"/>
    </row>
    <row r="173" spans="14:19" ht="17.25" customHeight="1" x14ac:dyDescent="0.25">
      <c r="N173" s="2"/>
      <c r="O173" s="2"/>
      <c r="P173" s="2"/>
      <c r="Q173" s="2"/>
      <c r="R173" s="2"/>
      <c r="S173" s="2"/>
    </row>
    <row r="174" spans="14:19" ht="17.25" customHeight="1" x14ac:dyDescent="0.25">
      <c r="N174" s="2"/>
      <c r="O174" s="2"/>
      <c r="P174" s="2"/>
      <c r="Q174" s="2"/>
      <c r="R174" s="2"/>
      <c r="S174" s="2"/>
    </row>
    <row r="175" spans="14:19" ht="17.25" customHeight="1" x14ac:dyDescent="0.25">
      <c r="N175" s="2"/>
      <c r="O175" s="2"/>
      <c r="P175" s="2"/>
      <c r="Q175" s="2"/>
      <c r="R175" s="2"/>
      <c r="S175" s="2"/>
    </row>
    <row r="176" spans="14:19" ht="17.25" customHeight="1" x14ac:dyDescent="0.25">
      <c r="N176" s="2"/>
      <c r="O176" s="2"/>
      <c r="P176" s="2"/>
      <c r="Q176" s="2"/>
      <c r="R176" s="2"/>
      <c r="S176" s="2"/>
    </row>
    <row r="177" spans="14:19" ht="17.25" customHeight="1" x14ac:dyDescent="0.25">
      <c r="N177" s="2"/>
      <c r="O177" s="2"/>
      <c r="P177" s="2"/>
      <c r="Q177" s="2"/>
      <c r="R177" s="2"/>
      <c r="S177" s="2"/>
    </row>
    <row r="178" spans="14:19" ht="17.25" customHeight="1" x14ac:dyDescent="0.25">
      <c r="N178" s="2"/>
      <c r="O178" s="2"/>
      <c r="P178" s="2"/>
      <c r="Q178" s="2"/>
      <c r="R178" s="2"/>
      <c r="S178" s="2"/>
    </row>
    <row r="179" spans="14:19" ht="17.25" customHeight="1" x14ac:dyDescent="0.25">
      <c r="N179" s="2"/>
      <c r="O179" s="2"/>
      <c r="P179" s="2"/>
      <c r="Q179" s="2"/>
      <c r="R179" s="2"/>
      <c r="S179" s="2"/>
    </row>
    <row r="180" spans="14:19" ht="17.25" customHeight="1" x14ac:dyDescent="0.25">
      <c r="N180" s="2"/>
      <c r="O180" s="2"/>
      <c r="P180" s="2"/>
      <c r="Q180" s="2"/>
      <c r="R180" s="2"/>
      <c r="S180" s="2"/>
    </row>
    <row r="181" spans="14:19" ht="17.25" customHeight="1" x14ac:dyDescent="0.25">
      <c r="N181" s="2"/>
      <c r="O181" s="2"/>
      <c r="P181" s="2"/>
      <c r="Q181" s="2"/>
      <c r="R181" s="2"/>
      <c r="S181" s="2"/>
    </row>
    <row r="182" spans="14:19" ht="17.25" customHeight="1" x14ac:dyDescent="0.25">
      <c r="N182" s="2"/>
      <c r="O182" s="2"/>
      <c r="P182" s="2"/>
      <c r="Q182" s="2"/>
      <c r="R182" s="2"/>
      <c r="S182" s="2"/>
    </row>
    <row r="183" spans="14:19" ht="17.25" customHeight="1" x14ac:dyDescent="0.25">
      <c r="N183" s="2"/>
      <c r="O183" s="2"/>
      <c r="P183" s="2"/>
      <c r="Q183" s="2"/>
      <c r="R183" s="2"/>
      <c r="S183" s="2"/>
    </row>
    <row r="184" spans="14:19" ht="17.25" customHeight="1" x14ac:dyDescent="0.25">
      <c r="N184" s="2"/>
      <c r="O184" s="2"/>
      <c r="P184" s="2"/>
      <c r="Q184" s="2"/>
      <c r="R184" s="2"/>
      <c r="S184" s="2"/>
    </row>
    <row r="185" spans="14:19" ht="17.25" customHeight="1" x14ac:dyDescent="0.25">
      <c r="N185" s="2"/>
      <c r="O185" s="2"/>
      <c r="P185" s="2"/>
      <c r="Q185" s="2"/>
      <c r="R185" s="2"/>
      <c r="S185" s="2"/>
    </row>
    <row r="186" spans="14:19" ht="17.25" customHeight="1" x14ac:dyDescent="0.25">
      <c r="N186" s="2"/>
      <c r="O186" s="2"/>
      <c r="P186" s="2"/>
      <c r="Q186" s="2"/>
      <c r="R186" s="2"/>
      <c r="S186" s="2"/>
    </row>
    <row r="187" spans="14:19" ht="17.25" customHeight="1" x14ac:dyDescent="0.25">
      <c r="N187" s="2"/>
      <c r="O187" s="2"/>
      <c r="P187" s="2"/>
      <c r="Q187" s="2"/>
      <c r="R187" s="2"/>
      <c r="S187" s="2"/>
    </row>
    <row r="188" spans="14:19" ht="17.25" customHeight="1" x14ac:dyDescent="0.25">
      <c r="N188" s="2"/>
      <c r="O188" s="2"/>
      <c r="P188" s="2"/>
      <c r="Q188" s="2"/>
      <c r="R188" s="2"/>
      <c r="S188" s="2"/>
    </row>
    <row r="189" spans="14:19" ht="17.25" customHeight="1" x14ac:dyDescent="0.25">
      <c r="N189" s="2"/>
      <c r="O189" s="2"/>
      <c r="P189" s="2"/>
      <c r="Q189" s="2"/>
      <c r="R189" s="2"/>
      <c r="S189" s="2"/>
    </row>
    <row r="190" spans="14:19" ht="17.25" customHeight="1" x14ac:dyDescent="0.25">
      <c r="N190" s="2"/>
      <c r="O190" s="2"/>
      <c r="P190" s="2"/>
      <c r="Q190" s="2"/>
      <c r="R190" s="2"/>
      <c r="S190" s="2"/>
    </row>
    <row r="191" spans="14:19" ht="17.25" customHeight="1" x14ac:dyDescent="0.25">
      <c r="N191" s="2"/>
      <c r="O191" s="2"/>
      <c r="P191" s="2"/>
      <c r="Q191" s="2"/>
      <c r="R191" s="2"/>
      <c r="S191" s="2"/>
    </row>
    <row r="192" spans="14:19" ht="17.25" customHeight="1" x14ac:dyDescent="0.25">
      <c r="N192" s="2"/>
      <c r="O192" s="2"/>
      <c r="P192" s="2"/>
      <c r="Q192" s="2"/>
      <c r="R192" s="2"/>
      <c r="S192" s="2"/>
    </row>
    <row r="193" spans="14:19" ht="17.25" customHeight="1" x14ac:dyDescent="0.25">
      <c r="N193" s="2"/>
      <c r="O193" s="2"/>
      <c r="P193" s="2"/>
      <c r="Q193" s="2"/>
      <c r="R193" s="2"/>
      <c r="S193" s="2"/>
    </row>
    <row r="194" spans="14:19" ht="17.25" customHeight="1" x14ac:dyDescent="0.25">
      <c r="N194" s="2"/>
      <c r="O194" s="2"/>
      <c r="P194" s="2"/>
      <c r="Q194" s="2"/>
      <c r="R194" s="2"/>
      <c r="S194" s="2"/>
    </row>
    <row r="195" spans="14:19" ht="17.25" customHeight="1" x14ac:dyDescent="0.25">
      <c r="N195" s="2"/>
      <c r="O195" s="2"/>
      <c r="P195" s="2"/>
      <c r="Q195" s="2"/>
      <c r="R195" s="2"/>
      <c r="S195" s="2"/>
    </row>
    <row r="196" spans="14:19" ht="17.25" customHeight="1" x14ac:dyDescent="0.25">
      <c r="N196" s="2"/>
      <c r="O196" s="2"/>
      <c r="P196" s="2"/>
      <c r="Q196" s="2"/>
      <c r="R196" s="2"/>
      <c r="S196" s="2"/>
    </row>
    <row r="197" spans="14:19" ht="17.25" customHeight="1" x14ac:dyDescent="0.25">
      <c r="N197" s="2"/>
      <c r="O197" s="2"/>
      <c r="P197" s="2"/>
      <c r="Q197" s="2"/>
      <c r="R197" s="2"/>
      <c r="S197" s="2"/>
    </row>
    <row r="198" spans="14:19" ht="17.25" customHeight="1" x14ac:dyDescent="0.25">
      <c r="N198" s="2"/>
      <c r="O198" s="2"/>
      <c r="P198" s="2"/>
      <c r="Q198" s="2"/>
      <c r="R198" s="2"/>
      <c r="S198" s="2"/>
    </row>
    <row r="199" spans="14:19" ht="17.25" customHeight="1" x14ac:dyDescent="0.25">
      <c r="N199" s="2"/>
      <c r="O199" s="2"/>
      <c r="P199" s="2"/>
      <c r="Q199" s="2"/>
      <c r="R199" s="2"/>
      <c r="S199" s="2"/>
    </row>
    <row r="200" spans="14:19" ht="17.25" customHeight="1" x14ac:dyDescent="0.25">
      <c r="N200" s="2"/>
      <c r="O200" s="2"/>
      <c r="P200" s="2"/>
      <c r="Q200" s="2"/>
      <c r="R200" s="2"/>
      <c r="S200" s="2"/>
    </row>
    <row r="201" spans="14:19" ht="17.25" customHeight="1" x14ac:dyDescent="0.25">
      <c r="N201" s="2"/>
      <c r="O201" s="2"/>
      <c r="P201" s="2"/>
      <c r="Q201" s="2"/>
      <c r="R201" s="2"/>
      <c r="S201" s="2"/>
    </row>
    <row r="202" spans="14:19" ht="17.25" customHeight="1" x14ac:dyDescent="0.25">
      <c r="N202" s="2"/>
      <c r="O202" s="2"/>
      <c r="P202" s="2"/>
      <c r="Q202" s="2"/>
      <c r="R202" s="2"/>
      <c r="S202" s="2"/>
    </row>
    <row r="203" spans="14:19" ht="17.25" customHeight="1" x14ac:dyDescent="0.25">
      <c r="N203" s="2"/>
      <c r="O203" s="2"/>
      <c r="P203" s="2"/>
      <c r="Q203" s="2"/>
      <c r="R203" s="2"/>
      <c r="S203" s="2"/>
    </row>
    <row r="204" spans="14:19" ht="17.25" customHeight="1" x14ac:dyDescent="0.25">
      <c r="N204" s="2"/>
      <c r="O204" s="2"/>
      <c r="P204" s="2"/>
      <c r="Q204" s="2"/>
      <c r="R204" s="2"/>
      <c r="S204" s="2"/>
    </row>
    <row r="205" spans="14:19" ht="17.25" customHeight="1" x14ac:dyDescent="0.25">
      <c r="N205" s="2"/>
      <c r="O205" s="2"/>
      <c r="P205" s="2"/>
      <c r="Q205" s="2"/>
      <c r="R205" s="2"/>
      <c r="S205" s="2"/>
    </row>
    <row r="206" spans="14:19" ht="17.25" customHeight="1" x14ac:dyDescent="0.25">
      <c r="N206" s="2"/>
      <c r="O206" s="2"/>
      <c r="P206" s="2"/>
      <c r="Q206" s="2"/>
      <c r="R206" s="2"/>
      <c r="S206" s="2"/>
    </row>
    <row r="207" spans="14:19" ht="17.25" customHeight="1" x14ac:dyDescent="0.25">
      <c r="N207" s="2"/>
      <c r="O207" s="2"/>
      <c r="P207" s="2"/>
      <c r="Q207" s="2"/>
      <c r="R207" s="2"/>
      <c r="S207" s="2"/>
    </row>
    <row r="208" spans="14:19" ht="17.25" customHeight="1" x14ac:dyDescent="0.25">
      <c r="N208" s="2"/>
      <c r="O208" s="2"/>
      <c r="P208" s="2"/>
      <c r="Q208" s="2"/>
      <c r="R208" s="2"/>
      <c r="S208" s="2"/>
    </row>
    <row r="209" spans="14:19" ht="17.25" customHeight="1" x14ac:dyDescent="0.25">
      <c r="N209" s="2"/>
      <c r="O209" s="2"/>
      <c r="P209" s="2"/>
      <c r="Q209" s="2"/>
      <c r="R209" s="2"/>
      <c r="S209" s="2"/>
    </row>
    <row r="210" spans="14:19" ht="17.25" customHeight="1" x14ac:dyDescent="0.25">
      <c r="N210" s="2"/>
      <c r="O210" s="2"/>
      <c r="P210" s="2"/>
      <c r="Q210" s="2"/>
      <c r="R210" s="2"/>
      <c r="S210" s="2"/>
    </row>
    <row r="211" spans="14:19" ht="17.25" customHeight="1" x14ac:dyDescent="0.25">
      <c r="N211" s="2"/>
      <c r="O211" s="2"/>
      <c r="P211" s="2"/>
      <c r="Q211" s="2"/>
      <c r="R211" s="2"/>
      <c r="S211" s="2"/>
    </row>
    <row r="212" spans="14:19" ht="17.25" customHeight="1" x14ac:dyDescent="0.25">
      <c r="N212" s="2"/>
      <c r="O212" s="2"/>
      <c r="P212" s="2"/>
      <c r="Q212" s="2"/>
      <c r="R212" s="2"/>
      <c r="S212" s="2"/>
    </row>
    <row r="213" spans="14:19" ht="17.25" customHeight="1" x14ac:dyDescent="0.25">
      <c r="N213" s="2"/>
      <c r="O213" s="2"/>
      <c r="P213" s="2"/>
      <c r="Q213" s="2"/>
      <c r="R213" s="2"/>
      <c r="S213" s="2"/>
    </row>
  </sheetData>
  <dataValidations count="4">
    <dataValidation type="list" allowBlank="1" showInputMessage="1" showErrorMessage="1" sqref="B2:B82">
      <formula1>$B$100:$B$101</formula1>
    </dataValidation>
    <dataValidation type="list" allowBlank="1" showInputMessage="1" showErrorMessage="1" sqref="G2:G82">
      <formula1>$G$100:$G$101</formula1>
    </dataValidation>
    <dataValidation type="list" allowBlank="1" showInputMessage="1" showErrorMessage="1" sqref="H2:H82 K2:K82">
      <formula1>$H$100:$H$101</formula1>
    </dataValidation>
    <dataValidation type="list" allowBlank="1" showInputMessage="1" showErrorMessage="1" sqref="I2:I82">
      <formula1>$I$100:$I$101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"/>
  <sheetViews>
    <sheetView workbookViewId="0"/>
  </sheetViews>
  <sheetFormatPr defaultRowHeight="15" x14ac:dyDescent="0.25"/>
  <sheetData>
    <row r="1" spans="1:1" x14ac:dyDescent="0.25">
      <c r="A1" s="5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GeneraLambda</vt:lpstr>
      <vt:lpstr>Appendice</vt:lpstr>
      <vt:lpstr>QueryPerCampiTabella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Amedeo Poli</dc:creator>
  <cp:lastModifiedBy>Amedeo Poli</cp:lastModifiedBy>
  <dcterms:created xsi:type="dcterms:W3CDTF">2018-12-29T07:21:03Z</dcterms:created>
  <dcterms:modified xsi:type="dcterms:W3CDTF">2018-12-30T01:08:57Z</dcterms:modified>
</cp:coreProperties>
</file>