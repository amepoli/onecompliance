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Amedeo\fuse-angular\DB\"/>
    </mc:Choice>
  </mc:AlternateContent>
  <xr:revisionPtr revIDLastSave="0" documentId="13_ncr:1_{62D580F8-E317-4B11-8E2B-4B5F3F35BCD6}" xr6:coauthVersionLast="40" xr6:coauthVersionMax="40" xr10:uidLastSave="{00000000-0000-0000-0000-000000000000}"/>
  <bookViews>
    <workbookView xWindow="0" yWindow="0" windowWidth="15345" windowHeight="3810" activeTab="1" xr2:uid="{00000000-000D-0000-FFFF-FFFF00000000}"/>
  </bookViews>
  <sheets>
    <sheet name="GeneraLambda" sheetId="1" r:id="rId1"/>
    <sheet name="Appendice" sheetId="2" r:id="rId2"/>
    <sheet name="QueryPerCampiTabella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" i="2" l="1"/>
  <c r="T4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S3" i="2"/>
  <c r="S4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Z75" i="2"/>
  <c r="Z76" i="2"/>
  <c r="Z70" i="2"/>
  <c r="Z69" i="2"/>
  <c r="Z77" i="2"/>
  <c r="Z78" i="2"/>
  <c r="Z82" i="2"/>
  <c r="Z81" i="2"/>
  <c r="Z71" i="2"/>
  <c r="Z79" i="2"/>
  <c r="Z74" i="2"/>
  <c r="Z72" i="2"/>
  <c r="Z80" i="2"/>
  <c r="Z73" i="2"/>
  <c r="T2" i="2"/>
  <c r="T5" i="2"/>
  <c r="S2" i="2"/>
  <c r="S5" i="2"/>
  <c r="P2" i="2"/>
  <c r="P3" i="2" s="1"/>
  <c r="AA16" i="2"/>
  <c r="AA3" i="2"/>
  <c r="AA11" i="2"/>
  <c r="AA19" i="2"/>
  <c r="AA27" i="2"/>
  <c r="AA35" i="2"/>
  <c r="AA43" i="2"/>
  <c r="AA51" i="2"/>
  <c r="AA59" i="2"/>
  <c r="AA67" i="2"/>
  <c r="AA75" i="2"/>
  <c r="AA32" i="2"/>
  <c r="AA80" i="2"/>
  <c r="AA42" i="2"/>
  <c r="AA4" i="2"/>
  <c r="AA12" i="2"/>
  <c r="AA20" i="2"/>
  <c r="AA28" i="2"/>
  <c r="AA36" i="2"/>
  <c r="AA44" i="2"/>
  <c r="AA52" i="2"/>
  <c r="AA60" i="2"/>
  <c r="AA68" i="2"/>
  <c r="AA76" i="2"/>
  <c r="AA48" i="2"/>
  <c r="AA81" i="2"/>
  <c r="AA58" i="2"/>
  <c r="AA5" i="2"/>
  <c r="AA13" i="2"/>
  <c r="AA21" i="2"/>
  <c r="AA29" i="2"/>
  <c r="AA37" i="2"/>
  <c r="AA45" i="2"/>
  <c r="AA53" i="2"/>
  <c r="AA61" i="2"/>
  <c r="AA69" i="2"/>
  <c r="AA77" i="2"/>
  <c r="AA24" i="2"/>
  <c r="AA72" i="2"/>
  <c r="AA18" i="2"/>
  <c r="AA6" i="2"/>
  <c r="AA14" i="2"/>
  <c r="AA22" i="2"/>
  <c r="AA30" i="2"/>
  <c r="AA38" i="2"/>
  <c r="AA46" i="2"/>
  <c r="AA54" i="2"/>
  <c r="AA62" i="2"/>
  <c r="AA70" i="2"/>
  <c r="AA78" i="2"/>
  <c r="AA64" i="2"/>
  <c r="AA34" i="2"/>
  <c r="AA82" i="2"/>
  <c r="AA7" i="2"/>
  <c r="AA15" i="2"/>
  <c r="AA23" i="2"/>
  <c r="AA31" i="2"/>
  <c r="AA39" i="2"/>
  <c r="AA47" i="2"/>
  <c r="AA55" i="2"/>
  <c r="AA63" i="2"/>
  <c r="AA71" i="2"/>
  <c r="AA79" i="2"/>
  <c r="AA40" i="2"/>
  <c r="AA73" i="2"/>
  <c r="AA50" i="2"/>
  <c r="AA8" i="2"/>
  <c r="AA56" i="2"/>
  <c r="AA10" i="2"/>
  <c r="AA66" i="2"/>
  <c r="AA9" i="2"/>
  <c r="AA17" i="2"/>
  <c r="AA25" i="2"/>
  <c r="AA33" i="2"/>
  <c r="AA41" i="2"/>
  <c r="AA49" i="2"/>
  <c r="AA57" i="2"/>
  <c r="AA65" i="2"/>
  <c r="AA26" i="2"/>
  <c r="AA74" i="2"/>
  <c r="AA2" i="2"/>
  <c r="R4" i="2"/>
  <c r="R3" i="2"/>
  <c r="R5" i="2" l="1"/>
  <c r="U2" i="2"/>
  <c r="M5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4" i="2"/>
  <c r="M3" i="2"/>
  <c r="M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2" i="2"/>
  <c r="A2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Q2" i="2"/>
  <c r="Q3" i="2" s="1"/>
  <c r="Q4" i="2" s="1"/>
  <c r="R2" i="2"/>
  <c r="O2" i="2"/>
  <c r="Y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Y3" i="2"/>
  <c r="R6" i="2"/>
  <c r="U3" i="2" l="1"/>
  <c r="U4" i="2" s="1"/>
  <c r="U5" i="2" s="1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U44" i="2" s="1"/>
  <c r="U45" i="2" s="1"/>
  <c r="U46" i="2" s="1"/>
  <c r="U47" i="2" s="1"/>
  <c r="U48" i="2" s="1"/>
  <c r="U49" i="2" s="1"/>
  <c r="U50" i="2" s="1"/>
  <c r="U51" i="2" s="1"/>
  <c r="U52" i="2" s="1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U67" i="2" s="1"/>
  <c r="U68" i="2" s="1"/>
  <c r="U69" i="2" s="1"/>
  <c r="U70" i="2" s="1"/>
  <c r="U71" i="2" s="1"/>
  <c r="U72" i="2" s="1"/>
  <c r="U73" i="2" s="1"/>
  <c r="U74" i="2" s="1"/>
  <c r="U75" i="2" s="1"/>
  <c r="U76" i="2" s="1"/>
  <c r="U77" i="2" s="1"/>
  <c r="U78" i="2" s="1"/>
  <c r="U79" i="2" s="1"/>
  <c r="U80" i="2" s="1"/>
  <c r="U81" i="2" s="1"/>
  <c r="U82" i="2" s="1"/>
  <c r="Q5" i="2"/>
  <c r="Q6" i="2"/>
  <c r="Q7" i="2"/>
  <c r="P4" i="2"/>
  <c r="Y4" i="2"/>
  <c r="R7" i="2"/>
  <c r="P5" i="2" l="1"/>
  <c r="Q8" i="2"/>
  <c r="Y5" i="2"/>
  <c r="P6" i="2"/>
  <c r="Y6" i="2"/>
  <c r="P7" i="2"/>
  <c r="Y7" i="2"/>
  <c r="P8" i="2"/>
  <c r="Y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Q9" i="2"/>
  <c r="Y9" i="2"/>
  <c r="Q10" i="2"/>
  <c r="Y10" i="2"/>
  <c r="Q11" i="2"/>
  <c r="Y11" i="2"/>
  <c r="Q12" i="2"/>
  <c r="Y12" i="2"/>
  <c r="Q13" i="2"/>
  <c r="Y13" i="2"/>
  <c r="Q14" i="2"/>
  <c r="Y14" i="2"/>
  <c r="Q15" i="2"/>
  <c r="Y15" i="2"/>
  <c r="Q16" i="2"/>
  <c r="Y16" i="2"/>
  <c r="Q17" i="2"/>
  <c r="Y17" i="2"/>
  <c r="Q18" i="2"/>
  <c r="Y18" i="2"/>
  <c r="Q19" i="2"/>
  <c r="Y19" i="2"/>
  <c r="Q20" i="2"/>
  <c r="Y20" i="2"/>
  <c r="Q21" i="2"/>
  <c r="Y21" i="2"/>
  <c r="Q22" i="2"/>
  <c r="Y22" i="2"/>
  <c r="Q23" i="2"/>
  <c r="Y23" i="2"/>
  <c r="Q24" i="2"/>
  <c r="Y24" i="2"/>
  <c r="Q25" i="2"/>
  <c r="Y25" i="2"/>
  <c r="Q26" i="2"/>
  <c r="Y26" i="2"/>
  <c r="Q27" i="2"/>
  <c r="Y27" i="2"/>
  <c r="Q28" i="2"/>
  <c r="Y28" i="2"/>
  <c r="Q29" i="2"/>
  <c r="Y29" i="2"/>
  <c r="Q30" i="2"/>
  <c r="Y30" i="2"/>
  <c r="Q31" i="2"/>
  <c r="Y31" i="2"/>
  <c r="Q32" i="2"/>
  <c r="Y32" i="2"/>
  <c r="Q33" i="2"/>
  <c r="Y33" i="2"/>
  <c r="Q34" i="2"/>
  <c r="Y34" i="2"/>
  <c r="Q35" i="2"/>
  <c r="Y35" i="2"/>
  <c r="Q36" i="2"/>
  <c r="Y36" i="2"/>
  <c r="Q37" i="2"/>
  <c r="Y37" i="2"/>
  <c r="Q38" i="2"/>
  <c r="Y38" i="2"/>
  <c r="Q39" i="2"/>
  <c r="Y39" i="2"/>
  <c r="Q40" i="2"/>
  <c r="Y40" i="2"/>
  <c r="Q41" i="2"/>
  <c r="Y41" i="2"/>
  <c r="Q42" i="2"/>
  <c r="Y42" i="2"/>
  <c r="Q43" i="2"/>
  <c r="Y43" i="2"/>
  <c r="Q44" i="2"/>
  <c r="Y44" i="2"/>
  <c r="Q45" i="2"/>
  <c r="Y45" i="2"/>
  <c r="Q46" i="2"/>
  <c r="Y46" i="2"/>
  <c r="Q47" i="2"/>
  <c r="Y47" i="2"/>
  <c r="Q48" i="2"/>
  <c r="Y48" i="2"/>
  <c r="Q49" i="2"/>
  <c r="Y49" i="2"/>
  <c r="Q50" i="2"/>
  <c r="Y50" i="2"/>
  <c r="Q51" i="2"/>
  <c r="Y51" i="2"/>
  <c r="Q52" i="2"/>
  <c r="Y52" i="2"/>
  <c r="Q53" i="2"/>
  <c r="Y53" i="2"/>
  <c r="Q54" i="2"/>
  <c r="Y54" i="2"/>
  <c r="Q55" i="2"/>
  <c r="Y55" i="2"/>
  <c r="Q56" i="2"/>
  <c r="Y56" i="2"/>
  <c r="Q57" i="2"/>
  <c r="Y57" i="2"/>
  <c r="Q58" i="2"/>
  <c r="Y58" i="2"/>
  <c r="Q59" i="2"/>
  <c r="Y59" i="2"/>
  <c r="Q60" i="2"/>
  <c r="Y60" i="2"/>
  <c r="Q61" i="2"/>
  <c r="Y61" i="2"/>
  <c r="Q62" i="2"/>
  <c r="Y62" i="2"/>
  <c r="Q63" i="2"/>
  <c r="Y63" i="2"/>
  <c r="Q64" i="2"/>
  <c r="Y64" i="2"/>
  <c r="Q65" i="2"/>
  <c r="Y65" i="2"/>
  <c r="Q66" i="2"/>
  <c r="Y66" i="2"/>
  <c r="Q67" i="2"/>
  <c r="Y67" i="2"/>
  <c r="Q68" i="2"/>
  <c r="Y68" i="2"/>
  <c r="Q69" i="2"/>
  <c r="Y69" i="2"/>
  <c r="Q70" i="2"/>
  <c r="Y70" i="2"/>
  <c r="Q71" i="2"/>
  <c r="Y71" i="2"/>
  <c r="Q72" i="2"/>
  <c r="Y72" i="2"/>
  <c r="Q73" i="2"/>
  <c r="Y73" i="2"/>
  <c r="Q74" i="2"/>
  <c r="Y74" i="2"/>
  <c r="Q75" i="2"/>
  <c r="Y75" i="2"/>
  <c r="Q76" i="2"/>
  <c r="Y76" i="2"/>
  <c r="Q77" i="2"/>
  <c r="Y77" i="2"/>
  <c r="Q78" i="2"/>
  <c r="Y78" i="2"/>
  <c r="Q79" i="2"/>
  <c r="Y79" i="2"/>
  <c r="Q80" i="2"/>
  <c r="Y80" i="2"/>
  <c r="Q81" i="2"/>
  <c r="Y81" i="2"/>
  <c r="Q82" i="2"/>
  <c r="Y82" i="2" s="1"/>
  <c r="R8" i="2"/>
  <c r="R9" i="2"/>
  <c r="R10" i="2"/>
  <c r="R11" i="2"/>
  <c r="R12" i="2"/>
  <c r="R13" i="2"/>
  <c r="R14" i="2"/>
  <c r="R15" i="2"/>
  <c r="R16" i="2"/>
  <c r="Z2" i="2"/>
  <c r="R17" i="2"/>
  <c r="Z3" i="2"/>
  <c r="R18" i="2"/>
  <c r="Z4" i="2"/>
  <c r="R19" i="2"/>
  <c r="Z5" i="2"/>
  <c r="R20" i="2"/>
  <c r="Z6" i="2"/>
  <c r="R21" i="2"/>
  <c r="Z7" i="2"/>
  <c r="R22" i="2"/>
  <c r="Z8" i="2"/>
  <c r="R23" i="2"/>
  <c r="Z9" i="2"/>
  <c r="R24" i="2"/>
  <c r="Z10" i="2"/>
  <c r="R25" i="2"/>
  <c r="Z11" i="2"/>
  <c r="R26" i="2"/>
  <c r="Z12" i="2"/>
  <c r="R27" i="2"/>
  <c r="Z13" i="2"/>
  <c r="R28" i="2"/>
  <c r="Z14" i="2"/>
  <c r="R29" i="2"/>
  <c r="Z15" i="2"/>
  <c r="R30" i="2"/>
  <c r="Z16" i="2"/>
  <c r="R31" i="2"/>
  <c r="Z17" i="2"/>
  <c r="R32" i="2"/>
  <c r="Z18" i="2"/>
  <c r="R33" i="2"/>
  <c r="Z19" i="2"/>
  <c r="R34" i="2"/>
  <c r="Z20" i="2"/>
  <c r="R35" i="2"/>
  <c r="Z21" i="2"/>
  <c r="R36" i="2"/>
  <c r="Z22" i="2"/>
  <c r="R37" i="2"/>
  <c r="Z23" i="2"/>
  <c r="R38" i="2"/>
  <c r="Z24" i="2"/>
  <c r="R39" i="2"/>
  <c r="Z25" i="2"/>
  <c r="R40" i="2"/>
  <c r="Z26" i="2"/>
  <c r="R41" i="2"/>
  <c r="Z27" i="2"/>
  <c r="R42" i="2"/>
  <c r="Z28" i="2"/>
  <c r="R43" i="2"/>
  <c r="Z29" i="2"/>
  <c r="R44" i="2"/>
  <c r="Z30" i="2"/>
  <c r="R45" i="2"/>
  <c r="Z31" i="2"/>
  <c r="R46" i="2"/>
  <c r="Z32" i="2"/>
  <c r="R47" i="2"/>
  <c r="Z33" i="2"/>
  <c r="R48" i="2"/>
  <c r="Z34" i="2"/>
  <c r="R49" i="2"/>
  <c r="Z35" i="2"/>
  <c r="R50" i="2"/>
  <c r="Z36" i="2"/>
  <c r="R51" i="2"/>
  <c r="Z37" i="2"/>
  <c r="R52" i="2"/>
  <c r="Z38" i="2"/>
  <c r="R53" i="2"/>
  <c r="Z39" i="2"/>
  <c r="R54" i="2"/>
  <c r="Z40" i="2"/>
  <c r="R55" i="2"/>
  <c r="Z41" i="2"/>
  <c r="R56" i="2"/>
  <c r="Z42" i="2"/>
  <c r="R57" i="2"/>
  <c r="Z43" i="2"/>
  <c r="R58" i="2"/>
  <c r="Z44" i="2"/>
  <c r="R59" i="2"/>
  <c r="Z45" i="2"/>
  <c r="R60" i="2"/>
  <c r="Z46" i="2"/>
  <c r="R61" i="2"/>
  <c r="Z47" i="2"/>
  <c r="R62" i="2"/>
  <c r="Z48" i="2"/>
  <c r="R63" i="2"/>
  <c r="Z49" i="2"/>
  <c r="R64" i="2"/>
  <c r="Z50" i="2"/>
  <c r="R65" i="2"/>
  <c r="Z51" i="2"/>
  <c r="R66" i="2"/>
  <c r="Z52" i="2"/>
  <c r="R67" i="2"/>
  <c r="Z53" i="2"/>
  <c r="R68" i="2"/>
  <c r="Z54" i="2"/>
  <c r="R69" i="2"/>
  <c r="Z55" i="2"/>
  <c r="R70" i="2"/>
  <c r="Z56" i="2"/>
  <c r="R71" i="2"/>
  <c r="Z57" i="2"/>
  <c r="R72" i="2"/>
  <c r="Z58" i="2"/>
  <c r="R73" i="2"/>
  <c r="Z59" i="2"/>
  <c r="R74" i="2"/>
  <c r="Z60" i="2"/>
  <c r="R75" i="2"/>
  <c r="Z61" i="2"/>
  <c r="R76" i="2"/>
  <c r="Z62" i="2"/>
  <c r="R77" i="2"/>
  <c r="Z63" i="2"/>
  <c r="R78" i="2"/>
  <c r="Z64" i="2"/>
  <c r="R79" i="2"/>
  <c r="Z65" i="2"/>
  <c r="R80" i="2"/>
  <c r="Z66" i="2"/>
  <c r="R81" i="2"/>
  <c r="Z67" i="2"/>
  <c r="R82" i="2"/>
  <c r="Z68" i="2" s="1"/>
</calcChain>
</file>

<file path=xl/sharedStrings.xml><?xml version="1.0" encoding="utf-8"?>
<sst xmlns="http://schemas.openxmlformats.org/spreadsheetml/2006/main" count="873" uniqueCount="106">
  <si>
    <t>table_catalog</t>
  </si>
  <si>
    <t>table_schema</t>
  </si>
  <si>
    <t>table_name</t>
  </si>
  <si>
    <t>column_name</t>
  </si>
  <si>
    <t>ordinal_position</t>
  </si>
  <si>
    <t>column_default</t>
  </si>
  <si>
    <t>is_nullable</t>
  </si>
  <si>
    <t>data_type</t>
  </si>
  <si>
    <t>character_maximum_length</t>
  </si>
  <si>
    <t>character_octet_length</t>
  </si>
  <si>
    <t>numeric_precision</t>
  </si>
  <si>
    <t>numeric_precision_radix</t>
  </si>
  <si>
    <t>numeric_scale</t>
  </si>
  <si>
    <t>datetime_precision</t>
  </si>
  <si>
    <t>interval_type</t>
  </si>
  <si>
    <t>interval_precision</t>
  </si>
  <si>
    <t>character_set_catalog</t>
  </si>
  <si>
    <t>character_set_schema</t>
  </si>
  <si>
    <t>character_set_name</t>
  </si>
  <si>
    <t>collation_catalog</t>
  </si>
  <si>
    <t>collation_schema</t>
  </si>
  <si>
    <t>collation_name</t>
  </si>
  <si>
    <t>domain_catalog</t>
  </si>
  <si>
    <t>domain_schema</t>
  </si>
  <si>
    <t>domain_name</t>
  </si>
  <si>
    <t>udt_catalog</t>
  </si>
  <si>
    <t>udt_schema</t>
  </si>
  <si>
    <t>udt_name</t>
  </si>
  <si>
    <t>scope_catalog</t>
  </si>
  <si>
    <t>scope_schema</t>
  </si>
  <si>
    <t>scope_name</t>
  </si>
  <si>
    <t>maximum_cardinality</t>
  </si>
  <si>
    <t>dtd_identifier</t>
  </si>
  <si>
    <t>is_self_referencing</t>
  </si>
  <si>
    <t>is_identity</t>
  </si>
  <si>
    <t>identity_generation</t>
  </si>
  <si>
    <t>identity_start</t>
  </si>
  <si>
    <t>identity_increment</t>
  </si>
  <si>
    <t>identity_maximum</t>
  </si>
  <si>
    <t>identity_minimum</t>
  </si>
  <si>
    <t>identity_cycle</t>
  </si>
  <si>
    <t>is_generated</t>
  </si>
  <si>
    <t>generation_expression</t>
  </si>
  <si>
    <t>is_updatable</t>
  </si>
  <si>
    <t>cnx</t>
  </si>
  <si>
    <t>entrasp</t>
  </si>
  <si>
    <t>procedure_aziendali</t>
  </si>
  <si>
    <t>codice_azienda</t>
  </si>
  <si>
    <t>NO</t>
  </si>
  <si>
    <t>character varying</t>
  </si>
  <si>
    <t>pg_catalog</t>
  </si>
  <si>
    <t>varchar</t>
  </si>
  <si>
    <t>NEVER</t>
  </si>
  <si>
    <t>YES</t>
  </si>
  <si>
    <t>codice</t>
  </si>
  <si>
    <t>descrizione_breve</t>
  </si>
  <si>
    <t>id_procedura</t>
  </si>
  <si>
    <t>numeric</t>
  </si>
  <si>
    <t>id_procedura_parent</t>
  </si>
  <si>
    <t>ordinamento</t>
  </si>
  <si>
    <t>tree_path</t>
  </si>
  <si>
    <t>frequenza</t>
  </si>
  <si>
    <t>text</t>
  </si>
  <si>
    <t>strumento_informatico</t>
  </si>
  <si>
    <t>id_centro_gest</t>
  </si>
  <si>
    <t>codice_part</t>
  </si>
  <si>
    <t>descrizione</t>
  </si>
  <si>
    <t>tipo_procedura</t>
  </si>
  <si>
    <t>'0'::bpchar</t>
  </si>
  <si>
    <t>character</t>
  </si>
  <si>
    <t>bpchar</t>
  </si>
  <si>
    <t>stato_attuazione</t>
  </si>
  <si>
    <t>id_tipo_processo</t>
  </si>
  <si>
    <t>Nome campo</t>
  </si>
  <si>
    <t xml:space="preserve">      type</t>
  </si>
  <si>
    <t xml:space="preserve">      label</t>
  </si>
  <si>
    <t xml:space="preserve">      inputType</t>
  </si>
  <si>
    <t xml:space="preserve">      name</t>
  </si>
  <si>
    <t xml:space="preserve">      value</t>
  </si>
  <si>
    <t xml:space="preserve">      readonly</t>
  </si>
  <si>
    <t>isVisible</t>
  </si>
  <si>
    <t>newLine</t>
  </si>
  <si>
    <t>comboboxQuery</t>
  </si>
  <si>
    <t>varForm</t>
  </si>
  <si>
    <t>input</t>
  </si>
  <si>
    <t>false</t>
  </si>
  <si>
    <t>combobox</t>
  </si>
  <si>
    <t>true</t>
  </si>
  <si>
    <t>SELECT * 
   FROM information_schema.columns 
   WHERE table_name ='procedure_aziendali'</t>
  </si>
  <si>
    <t>validations</t>
  </si>
  <si>
    <t>validation1</t>
  </si>
  <si>
    <t>validation2</t>
  </si>
  <si>
    <t>queryString</t>
  </si>
  <si>
    <t>queryString_New</t>
  </si>
  <si>
    <t>queryString_element</t>
  </si>
  <si>
    <t>insertString</t>
  </si>
  <si>
    <t>deleteString</t>
  </si>
  <si>
    <t>ElencoCampi</t>
  </si>
  <si>
    <t>ElencoValori</t>
  </si>
  <si>
    <t>updateString</t>
  </si>
  <si>
    <t>stringaPerUpdate</t>
  </si>
  <si>
    <t>chiavePrimaria</t>
  </si>
  <si>
    <t>condizioneChiavePrimaria</t>
  </si>
  <si>
    <t>indice</t>
  </si>
  <si>
    <t>pk_condizione</t>
  </si>
  <si>
    <t>pk_vincolo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</si>
</sst>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0" fontId="0" fillId="33" borderId="0" xfId="0" applyFill="1"/>
    <xf numFmtId="0" fontId="0" fillId="33" borderId="0" xfId="0" applyFill="1" applyAlignment="1">
      <alignment wrapText="1"/>
    </xf>
    <xf numFmtId="0" fontId="0" fillId="0" borderId="0" xfId="0" quotePrefix="1"/>
    <xf numFmtId="0" fontId="0" fillId="0" borderId="0" xfId="0" applyAlignment="1">
      <alignment wrapText="1"/>
    </xf>
    <xf numFmtId="0" fontId="0" fillId="0" borderId="0" xfId="0" applyAlignment="1"/>
    <xf numFmtId="0" fontId="0" fillId="33" borderId="0" xfId="0" applyFill="1" applyAlignment="1">
      <alignment horizontal="left" wrapText="1"/>
    </xf>
  </cellXfs>
  <cellStyles count="42">
    <cellStyle name="20% - Colore 1" xfId="19" builtinId="30" customBuiltin="1"/>
    <cellStyle name="20% - Colore 2" xfId="23" builtinId="34" customBuiltin="1"/>
    <cellStyle name="20% - Colore 3" xfId="27" builtinId="38" customBuiltin="1"/>
    <cellStyle name="20% - Colore 4" xfId="31" builtinId="42" customBuiltin="1"/>
    <cellStyle name="20% - Colore 5" xfId="35" builtinId="46" customBuiltin="1"/>
    <cellStyle name="20% - Colore 6" xfId="39" builtinId="50" customBuiltin="1"/>
    <cellStyle name="40% - Colore 1" xfId="20" builtinId="31" customBuiltin="1"/>
    <cellStyle name="40% - Colore 2" xfId="24" builtinId="35" customBuiltin="1"/>
    <cellStyle name="40% - Colore 3" xfId="28" builtinId="39" customBuiltin="1"/>
    <cellStyle name="40% - Colore 4" xfId="32" builtinId="43" customBuiltin="1"/>
    <cellStyle name="40% - Colore 5" xfId="36" builtinId="47" customBuiltin="1"/>
    <cellStyle name="40% - Colore 6" xfId="40" builtinId="51" customBuiltin="1"/>
    <cellStyle name="60% - Colore 1" xfId="21" builtinId="32" customBuiltin="1"/>
    <cellStyle name="60% - Colore 2" xfId="25" builtinId="36" customBuiltin="1"/>
    <cellStyle name="60% - Colore 3" xfId="29" builtinId="40" customBuiltin="1"/>
    <cellStyle name="60% - Colore 4" xfId="33" builtinId="44" customBuiltin="1"/>
    <cellStyle name="60% - Colore 5" xfId="37" builtinId="48" customBuiltin="1"/>
    <cellStyle name="60% - Colore 6" xfId="41" builtinId="52" customBuiltin="1"/>
    <cellStyle name="Calcolo" xfId="11" builtinId="22" customBuiltin="1"/>
    <cellStyle name="Cella collegata" xfId="12" builtinId="24" customBuiltin="1"/>
    <cellStyle name="Cella da controllare" xfId="13" builtinId="23" customBuiltin="1"/>
    <cellStyle name="Colore 1" xfId="18" builtinId="29" customBuiltin="1"/>
    <cellStyle name="Colore 2" xfId="22" builtinId="33" customBuiltin="1"/>
    <cellStyle name="Colore 3" xfId="26" builtinId="37" customBuiltin="1"/>
    <cellStyle name="Colore 4" xfId="30" builtinId="41" customBuiltin="1"/>
    <cellStyle name="Colore 5" xfId="34" builtinId="45" customBuiltin="1"/>
    <cellStyle name="Colore 6" xfId="38" builtinId="49" customBuiltin="1"/>
    <cellStyle name="Input" xfId="9" builtinId="20" customBuiltin="1"/>
    <cellStyle name="Neutrale" xfId="8" builtinId="28" customBuiltin="1"/>
    <cellStyle name="Normale" xfId="0" builtinId="0"/>
    <cellStyle name="Nota" xfId="15" builtinId="10" customBuiltin="1"/>
    <cellStyle name="Output" xfId="10" builtinId="21" customBuiltin="1"/>
    <cellStyle name="Testo avviso" xfId="14" builtinId="11" customBuiltin="1"/>
    <cellStyle name="Testo descrittivo" xfId="16" builtinId="53" customBuiltin="1"/>
    <cellStyle name="Titolo" xfId="1" builtinId="15" customBuiltin="1"/>
    <cellStyle name="Titolo 1" xfId="2" builtinId="16" customBuiltin="1"/>
    <cellStyle name="Titolo 2" xfId="3" builtinId="17" customBuiltin="1"/>
    <cellStyle name="Titolo 3" xfId="4" builtinId="18" customBuiltin="1"/>
    <cellStyle name="Titolo 4" xfId="5" builtinId="19" customBuiltin="1"/>
    <cellStyle name="Totale" xfId="17" builtinId="25" customBuiltin="1"/>
    <cellStyle name="Valore non valido" xfId="7" builtinId="27" customBuiltin="1"/>
    <cellStyle name="Valore valido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R16"/>
  <sheetViews>
    <sheetView workbookViewId="0">
      <selection activeCell="R2" sqref="R2"/>
    </sheetView>
  </sheetViews>
  <sheetFormatPr defaultRowHeight="15" x14ac:dyDescent="0.25"/>
  <sheetData>
    <row r="1" spans="1:4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</row>
    <row r="2" spans="1:44" x14ac:dyDescent="0.25">
      <c r="A2" t="s">
        <v>44</v>
      </c>
      <c r="B2" t="s">
        <v>45</v>
      </c>
      <c r="C2" t="s">
        <v>46</v>
      </c>
      <c r="D2" t="s">
        <v>47</v>
      </c>
      <c r="E2">
        <v>1</v>
      </c>
      <c r="G2" t="s">
        <v>48</v>
      </c>
      <c r="H2" t="s">
        <v>49</v>
      </c>
      <c r="I2">
        <v>30</v>
      </c>
      <c r="J2">
        <v>120</v>
      </c>
      <c r="Z2" t="s">
        <v>44</v>
      </c>
      <c r="AA2" t="s">
        <v>50</v>
      </c>
      <c r="AB2" t="s">
        <v>51</v>
      </c>
      <c r="AG2">
        <v>1</v>
      </c>
      <c r="AH2" t="s">
        <v>48</v>
      </c>
      <c r="AI2" t="s">
        <v>48</v>
      </c>
      <c r="AP2" t="s">
        <v>52</v>
      </c>
      <c r="AR2" t="s">
        <v>53</v>
      </c>
    </row>
    <row r="3" spans="1:44" x14ac:dyDescent="0.25">
      <c r="A3" t="s">
        <v>44</v>
      </c>
      <c r="B3" t="s">
        <v>45</v>
      </c>
      <c r="C3" t="s">
        <v>46</v>
      </c>
      <c r="D3" t="s">
        <v>54</v>
      </c>
      <c r="E3">
        <v>2</v>
      </c>
      <c r="G3" t="s">
        <v>48</v>
      </c>
      <c r="H3" t="s">
        <v>49</v>
      </c>
      <c r="I3">
        <v>30</v>
      </c>
      <c r="J3">
        <v>120</v>
      </c>
      <c r="Z3" t="s">
        <v>44</v>
      </c>
      <c r="AA3" t="s">
        <v>50</v>
      </c>
      <c r="AB3" t="s">
        <v>51</v>
      </c>
      <c r="AG3">
        <v>2</v>
      </c>
      <c r="AH3" t="s">
        <v>48</v>
      </c>
      <c r="AI3" t="s">
        <v>48</v>
      </c>
      <c r="AP3" t="s">
        <v>52</v>
      </c>
      <c r="AR3" t="s">
        <v>53</v>
      </c>
    </row>
    <row r="4" spans="1:44" x14ac:dyDescent="0.25">
      <c r="A4" t="s">
        <v>44</v>
      </c>
      <c r="B4" t="s">
        <v>45</v>
      </c>
      <c r="C4" t="s">
        <v>46</v>
      </c>
      <c r="D4" t="s">
        <v>55</v>
      </c>
      <c r="E4">
        <v>3</v>
      </c>
      <c r="G4" t="s">
        <v>48</v>
      </c>
      <c r="H4" t="s">
        <v>49</v>
      </c>
      <c r="I4">
        <v>240</v>
      </c>
      <c r="J4">
        <v>960</v>
      </c>
      <c r="Z4" t="s">
        <v>44</v>
      </c>
      <c r="AA4" t="s">
        <v>50</v>
      </c>
      <c r="AB4" t="s">
        <v>51</v>
      </c>
      <c r="AG4">
        <v>3</v>
      </c>
      <c r="AH4" t="s">
        <v>48</v>
      </c>
      <c r="AI4" t="s">
        <v>48</v>
      </c>
      <c r="AP4" t="s">
        <v>52</v>
      </c>
      <c r="AR4" t="s">
        <v>53</v>
      </c>
    </row>
    <row r="5" spans="1:44" x14ac:dyDescent="0.25">
      <c r="A5" t="s">
        <v>44</v>
      </c>
      <c r="B5" t="s">
        <v>45</v>
      </c>
      <c r="C5" t="s">
        <v>46</v>
      </c>
      <c r="D5" t="s">
        <v>56</v>
      </c>
      <c r="E5">
        <v>4</v>
      </c>
      <c r="G5" t="s">
        <v>48</v>
      </c>
      <c r="H5" t="s">
        <v>57</v>
      </c>
      <c r="K5">
        <v>12</v>
      </c>
      <c r="L5">
        <v>10</v>
      </c>
      <c r="M5">
        <v>0</v>
      </c>
      <c r="Z5" t="s">
        <v>44</v>
      </c>
      <c r="AA5" t="s">
        <v>50</v>
      </c>
      <c r="AB5" t="s">
        <v>57</v>
      </c>
      <c r="AG5">
        <v>4</v>
      </c>
      <c r="AH5" t="s">
        <v>48</v>
      </c>
      <c r="AI5" t="s">
        <v>48</v>
      </c>
      <c r="AP5" t="s">
        <v>52</v>
      </c>
      <c r="AR5" t="s">
        <v>53</v>
      </c>
    </row>
    <row r="6" spans="1:44" x14ac:dyDescent="0.25">
      <c r="A6" t="s">
        <v>44</v>
      </c>
      <c r="B6" t="s">
        <v>45</v>
      </c>
      <c r="C6" t="s">
        <v>46</v>
      </c>
      <c r="D6" t="s">
        <v>58</v>
      </c>
      <c r="E6">
        <v>5</v>
      </c>
      <c r="G6" t="s">
        <v>53</v>
      </c>
      <c r="H6" t="s">
        <v>57</v>
      </c>
      <c r="K6">
        <v>12</v>
      </c>
      <c r="L6">
        <v>10</v>
      </c>
      <c r="M6">
        <v>0</v>
      </c>
      <c r="Z6" t="s">
        <v>44</v>
      </c>
      <c r="AA6" t="s">
        <v>50</v>
      </c>
      <c r="AB6" t="s">
        <v>57</v>
      </c>
      <c r="AG6">
        <v>5</v>
      </c>
      <c r="AH6" t="s">
        <v>48</v>
      </c>
      <c r="AI6" t="s">
        <v>48</v>
      </c>
      <c r="AP6" t="s">
        <v>52</v>
      </c>
      <c r="AR6" t="s">
        <v>53</v>
      </c>
    </row>
    <row r="7" spans="1:44" x14ac:dyDescent="0.25">
      <c r="A7" t="s">
        <v>44</v>
      </c>
      <c r="B7" t="s">
        <v>45</v>
      </c>
      <c r="C7" t="s">
        <v>46</v>
      </c>
      <c r="D7" t="s">
        <v>59</v>
      </c>
      <c r="E7">
        <v>6</v>
      </c>
      <c r="G7" t="s">
        <v>53</v>
      </c>
      <c r="H7" t="s">
        <v>57</v>
      </c>
      <c r="K7">
        <v>3</v>
      </c>
      <c r="L7">
        <v>10</v>
      </c>
      <c r="M7">
        <v>0</v>
      </c>
      <c r="Z7" t="s">
        <v>44</v>
      </c>
      <c r="AA7" t="s">
        <v>50</v>
      </c>
      <c r="AB7" t="s">
        <v>57</v>
      </c>
      <c r="AG7">
        <v>6</v>
      </c>
      <c r="AH7" t="s">
        <v>48</v>
      </c>
      <c r="AI7" t="s">
        <v>48</v>
      </c>
      <c r="AP7" t="s">
        <v>52</v>
      </c>
      <c r="AR7" t="s">
        <v>53</v>
      </c>
    </row>
    <row r="8" spans="1:44" x14ac:dyDescent="0.25">
      <c r="A8" t="s">
        <v>44</v>
      </c>
      <c r="B8" t="s">
        <v>45</v>
      </c>
      <c r="C8" t="s">
        <v>46</v>
      </c>
      <c r="D8" t="s">
        <v>60</v>
      </c>
      <c r="E8">
        <v>7</v>
      </c>
      <c r="G8" t="s">
        <v>53</v>
      </c>
      <c r="H8" t="s">
        <v>49</v>
      </c>
      <c r="I8">
        <v>100</v>
      </c>
      <c r="J8">
        <v>400</v>
      </c>
      <c r="Z8" t="s">
        <v>44</v>
      </c>
      <c r="AA8" t="s">
        <v>50</v>
      </c>
      <c r="AB8" t="s">
        <v>51</v>
      </c>
      <c r="AG8">
        <v>7</v>
      </c>
      <c r="AH8" t="s">
        <v>48</v>
      </c>
      <c r="AI8" t="s">
        <v>48</v>
      </c>
      <c r="AP8" t="s">
        <v>52</v>
      </c>
      <c r="AR8" t="s">
        <v>53</v>
      </c>
    </row>
    <row r="9" spans="1:44" x14ac:dyDescent="0.25">
      <c r="A9" t="s">
        <v>44</v>
      </c>
      <c r="B9" t="s">
        <v>45</v>
      </c>
      <c r="C9" t="s">
        <v>46</v>
      </c>
      <c r="D9" t="s">
        <v>61</v>
      </c>
      <c r="E9">
        <v>8</v>
      </c>
      <c r="G9" t="s">
        <v>53</v>
      </c>
      <c r="H9" t="s">
        <v>62</v>
      </c>
      <c r="J9">
        <v>1073741824</v>
      </c>
      <c r="Z9" t="s">
        <v>44</v>
      </c>
      <c r="AA9" t="s">
        <v>50</v>
      </c>
      <c r="AB9" t="s">
        <v>62</v>
      </c>
      <c r="AG9">
        <v>8</v>
      </c>
      <c r="AH9" t="s">
        <v>48</v>
      </c>
      <c r="AI9" t="s">
        <v>48</v>
      </c>
      <c r="AP9" t="s">
        <v>52</v>
      </c>
      <c r="AR9" t="s">
        <v>53</v>
      </c>
    </row>
    <row r="10" spans="1:44" x14ac:dyDescent="0.25">
      <c r="A10" t="s">
        <v>44</v>
      </c>
      <c r="B10" t="s">
        <v>45</v>
      </c>
      <c r="C10" t="s">
        <v>46</v>
      </c>
      <c r="D10" t="s">
        <v>63</v>
      </c>
      <c r="E10">
        <v>9</v>
      </c>
      <c r="G10" t="s">
        <v>53</v>
      </c>
      <c r="H10" t="s">
        <v>62</v>
      </c>
      <c r="J10">
        <v>1073741824</v>
      </c>
      <c r="Z10" t="s">
        <v>44</v>
      </c>
      <c r="AA10" t="s">
        <v>50</v>
      </c>
      <c r="AB10" t="s">
        <v>62</v>
      </c>
      <c r="AG10">
        <v>9</v>
      </c>
      <c r="AH10" t="s">
        <v>48</v>
      </c>
      <c r="AI10" t="s">
        <v>48</v>
      </c>
      <c r="AP10" t="s">
        <v>52</v>
      </c>
      <c r="AR10" t="s">
        <v>53</v>
      </c>
    </row>
    <row r="11" spans="1:44" x14ac:dyDescent="0.25">
      <c r="A11" t="s">
        <v>44</v>
      </c>
      <c r="B11" t="s">
        <v>45</v>
      </c>
      <c r="C11" t="s">
        <v>46</v>
      </c>
      <c r="D11" t="s">
        <v>64</v>
      </c>
      <c r="E11">
        <v>10</v>
      </c>
      <c r="G11" t="s">
        <v>53</v>
      </c>
      <c r="H11" t="s">
        <v>57</v>
      </c>
      <c r="K11">
        <v>12</v>
      </c>
      <c r="L11">
        <v>10</v>
      </c>
      <c r="M11">
        <v>0</v>
      </c>
      <c r="Z11" t="s">
        <v>44</v>
      </c>
      <c r="AA11" t="s">
        <v>50</v>
      </c>
      <c r="AB11" t="s">
        <v>57</v>
      </c>
      <c r="AG11">
        <v>10</v>
      </c>
      <c r="AH11" t="s">
        <v>48</v>
      </c>
      <c r="AI11" t="s">
        <v>48</v>
      </c>
      <c r="AP11" t="s">
        <v>52</v>
      </c>
      <c r="AR11" t="s">
        <v>53</v>
      </c>
    </row>
    <row r="12" spans="1:44" x14ac:dyDescent="0.25">
      <c r="A12" t="s">
        <v>44</v>
      </c>
      <c r="B12" t="s">
        <v>45</v>
      </c>
      <c r="C12" t="s">
        <v>46</v>
      </c>
      <c r="D12" t="s">
        <v>65</v>
      </c>
      <c r="E12">
        <v>11</v>
      </c>
      <c r="G12" t="s">
        <v>53</v>
      </c>
      <c r="H12" t="s">
        <v>49</v>
      </c>
      <c r="I12">
        <v>20</v>
      </c>
      <c r="J12">
        <v>80</v>
      </c>
      <c r="Z12" t="s">
        <v>44</v>
      </c>
      <c r="AA12" t="s">
        <v>50</v>
      </c>
      <c r="AB12" t="s">
        <v>51</v>
      </c>
      <c r="AG12">
        <v>11</v>
      </c>
      <c r="AH12" t="s">
        <v>48</v>
      </c>
      <c r="AI12" t="s">
        <v>48</v>
      </c>
      <c r="AP12" t="s">
        <v>52</v>
      </c>
      <c r="AR12" t="s">
        <v>53</v>
      </c>
    </row>
    <row r="13" spans="1:44" x14ac:dyDescent="0.25">
      <c r="A13" t="s">
        <v>44</v>
      </c>
      <c r="B13" t="s">
        <v>45</v>
      </c>
      <c r="C13" t="s">
        <v>46</v>
      </c>
      <c r="D13" t="s">
        <v>66</v>
      </c>
      <c r="E13">
        <v>12</v>
      </c>
      <c r="G13" t="s">
        <v>53</v>
      </c>
      <c r="H13" t="s">
        <v>62</v>
      </c>
      <c r="J13">
        <v>1073741824</v>
      </c>
      <c r="Z13" t="s">
        <v>44</v>
      </c>
      <c r="AA13" t="s">
        <v>50</v>
      </c>
      <c r="AB13" t="s">
        <v>62</v>
      </c>
      <c r="AG13">
        <v>12</v>
      </c>
      <c r="AH13" t="s">
        <v>48</v>
      </c>
      <c r="AI13" t="s">
        <v>48</v>
      </c>
      <c r="AP13" t="s">
        <v>52</v>
      </c>
      <c r="AR13" t="s">
        <v>53</v>
      </c>
    </row>
    <row r="14" spans="1:44" x14ac:dyDescent="0.25">
      <c r="A14" t="s">
        <v>44</v>
      </c>
      <c r="B14" t="s">
        <v>45</v>
      </c>
      <c r="C14" t="s">
        <v>46</v>
      </c>
      <c r="D14" t="s">
        <v>67</v>
      </c>
      <c r="E14">
        <v>13</v>
      </c>
      <c r="F14" t="s">
        <v>68</v>
      </c>
      <c r="G14" t="s">
        <v>48</v>
      </c>
      <c r="H14" t="s">
        <v>69</v>
      </c>
      <c r="I14">
        <v>1</v>
      </c>
      <c r="J14">
        <v>4</v>
      </c>
      <c r="Z14" t="s">
        <v>44</v>
      </c>
      <c r="AA14" t="s">
        <v>50</v>
      </c>
      <c r="AB14" t="s">
        <v>70</v>
      </c>
      <c r="AG14">
        <v>13</v>
      </c>
      <c r="AH14" t="s">
        <v>48</v>
      </c>
      <c r="AI14" t="s">
        <v>48</v>
      </c>
      <c r="AP14" t="s">
        <v>52</v>
      </c>
      <c r="AR14" t="s">
        <v>53</v>
      </c>
    </row>
    <row r="15" spans="1:44" x14ac:dyDescent="0.25">
      <c r="A15" t="s">
        <v>44</v>
      </c>
      <c r="B15" t="s">
        <v>45</v>
      </c>
      <c r="C15" t="s">
        <v>46</v>
      </c>
      <c r="D15" t="s">
        <v>71</v>
      </c>
      <c r="E15">
        <v>14</v>
      </c>
      <c r="G15" t="s">
        <v>53</v>
      </c>
      <c r="H15" t="s">
        <v>69</v>
      </c>
      <c r="I15">
        <v>1</v>
      </c>
      <c r="J15">
        <v>4</v>
      </c>
      <c r="Z15" t="s">
        <v>44</v>
      </c>
      <c r="AA15" t="s">
        <v>50</v>
      </c>
      <c r="AB15" t="s">
        <v>70</v>
      </c>
      <c r="AG15">
        <v>14</v>
      </c>
      <c r="AH15" t="s">
        <v>48</v>
      </c>
      <c r="AI15" t="s">
        <v>48</v>
      </c>
      <c r="AP15" t="s">
        <v>52</v>
      </c>
      <c r="AR15" t="s">
        <v>53</v>
      </c>
    </row>
    <row r="16" spans="1:44" x14ac:dyDescent="0.25">
      <c r="A16" t="s">
        <v>44</v>
      </c>
      <c r="B16" t="s">
        <v>45</v>
      </c>
      <c r="C16" t="s">
        <v>46</v>
      </c>
      <c r="D16" t="s">
        <v>72</v>
      </c>
      <c r="E16">
        <v>15</v>
      </c>
      <c r="G16" t="s">
        <v>53</v>
      </c>
      <c r="H16" t="s">
        <v>57</v>
      </c>
      <c r="K16">
        <v>12</v>
      </c>
      <c r="L16">
        <v>10</v>
      </c>
      <c r="M16">
        <v>0</v>
      </c>
      <c r="Z16" t="s">
        <v>44</v>
      </c>
      <c r="AA16" t="s">
        <v>50</v>
      </c>
      <c r="AB16" t="s">
        <v>57</v>
      </c>
      <c r="AG16">
        <v>15</v>
      </c>
      <c r="AH16" t="s">
        <v>48</v>
      </c>
      <c r="AI16" t="s">
        <v>48</v>
      </c>
      <c r="AP16" t="s">
        <v>52</v>
      </c>
      <c r="AR16" t="s">
        <v>53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AA213"/>
  <sheetViews>
    <sheetView tabSelected="1" workbookViewId="0">
      <pane xSplit="1" ySplit="1" topLeftCell="R7" activePane="bottomRight" state="frozenSplit"/>
      <selection pane="topRight" activeCell="B1" sqref="B1"/>
      <selection pane="bottomLeft" activeCell="A2" sqref="A2"/>
      <selection pane="bottomRight" activeCell="Y16" sqref="Y16"/>
    </sheetView>
  </sheetViews>
  <sheetFormatPr defaultRowHeight="17.25" customHeight="1" x14ac:dyDescent="0.25"/>
  <cols>
    <col min="1" max="1" width="22" bestFit="1" customWidth="1"/>
    <col min="3" max="3" width="22" bestFit="1" customWidth="1"/>
    <col min="5" max="5" width="22" bestFit="1" customWidth="1"/>
    <col min="7" max="7" width="11.42578125" bestFit="1" customWidth="1"/>
    <col min="10" max="13" width="15.28515625" customWidth="1"/>
    <col min="14" max="14" width="15.85546875" bestFit="1" customWidth="1"/>
    <col min="15" max="17" width="25.5703125" style="1" customWidth="1"/>
    <col min="18" max="21" width="18.42578125" style="1" customWidth="1"/>
    <col min="22" max="22" width="11.28515625" style="1" bestFit="1" customWidth="1"/>
    <col min="23" max="23" width="16.5703125" style="1" bestFit="1" customWidth="1"/>
    <col min="24" max="24" width="20.140625" style="1" bestFit="1" customWidth="1"/>
    <col min="25" max="25" width="11.28515625" bestFit="1" customWidth="1"/>
    <col min="26" max="26" width="12.42578125" bestFit="1" customWidth="1"/>
    <col min="27" max="27" width="12" bestFit="1" customWidth="1"/>
  </cols>
  <sheetData>
    <row r="1" spans="1:27" ht="17.25" customHeight="1" x14ac:dyDescent="0.25">
      <c r="A1" t="s">
        <v>73</v>
      </c>
      <c r="B1" t="s">
        <v>74</v>
      </c>
      <c r="C1" t="s">
        <v>75</v>
      </c>
      <c r="D1" t="s">
        <v>76</v>
      </c>
      <c r="E1" t="s">
        <v>77</v>
      </c>
      <c r="F1" t="s">
        <v>78</v>
      </c>
      <c r="G1" t="s">
        <v>79</v>
      </c>
      <c r="H1" t="s">
        <v>80</v>
      </c>
      <c r="I1" t="s">
        <v>81</v>
      </c>
      <c r="J1" t="s">
        <v>89</v>
      </c>
      <c r="K1" t="s">
        <v>103</v>
      </c>
      <c r="L1" t="s">
        <v>101</v>
      </c>
      <c r="M1" t="s">
        <v>7</v>
      </c>
      <c r="N1" t="s">
        <v>82</v>
      </c>
      <c r="O1" s="2" t="s">
        <v>83</v>
      </c>
      <c r="P1" s="2" t="s">
        <v>97</v>
      </c>
      <c r="Q1" s="2" t="s">
        <v>98</v>
      </c>
      <c r="R1" s="2" t="s">
        <v>100</v>
      </c>
      <c r="S1" s="2" t="s">
        <v>104</v>
      </c>
      <c r="T1" s="2" t="s">
        <v>105</v>
      </c>
      <c r="U1" s="2" t="s">
        <v>102</v>
      </c>
      <c r="V1" s="2" t="s">
        <v>92</v>
      </c>
      <c r="W1" s="2" t="s">
        <v>93</v>
      </c>
      <c r="X1" s="2" t="s">
        <v>94</v>
      </c>
      <c r="Y1" s="2" t="s">
        <v>95</v>
      </c>
      <c r="Z1" s="2" t="s">
        <v>99</v>
      </c>
      <c r="AA1" s="2" t="s">
        <v>96</v>
      </c>
    </row>
    <row r="2" spans="1:27" ht="17.25" customHeight="1" x14ac:dyDescent="0.25">
      <c r="A2" t="str">
        <f>GeneraLambda!D2</f>
        <v>codice_azienda</v>
      </c>
      <c r="B2" t="s">
        <v>84</v>
      </c>
      <c r="C2" t="s">
        <v>47</v>
      </c>
      <c r="D2" t="s">
        <v>62</v>
      </c>
      <c r="E2" t="str">
        <f>GeneraLambda!D2</f>
        <v>codice_azienda</v>
      </c>
      <c r="F2" s="3"/>
      <c r="G2" t="s">
        <v>87</v>
      </c>
      <c r="H2" t="s">
        <v>85</v>
      </c>
      <c r="I2" t="s">
        <v>87</v>
      </c>
      <c r="J2" t="s">
        <v>85</v>
      </c>
      <c r="K2" t="s">
        <v>85</v>
      </c>
      <c r="L2" t="s">
        <v>87</v>
      </c>
      <c r="M2" t="str">
        <f>GeneraLambda!H2</f>
        <v>character varying</v>
      </c>
      <c r="O2" s="2" t="str">
        <f>varform(A2, B2, C2, D2, E2, F2, G2, H2, I2,J2)</f>
        <v>{type: 'input',_x000D_ label: 'codice_azienda',_x000D_ inputType: 'text',_x000D_ name: 'codice_azienda',_x000D_ value: '',_x000D_ readonly: 'true',_x000D_ isVisible: 'false',_x000D_ newLine: 'true'_x000D_}</v>
      </c>
      <c r="P2" s="2" t="str">
        <f>IF(K2="true","",(campo(A2,K2)))</f>
        <v>codice_azienda</v>
      </c>
      <c r="Q2" s="2" t="str">
        <f>IF(K2="true","",vincolo(A2,K2,M2))</f>
        <v>${body['codice_azienda']</v>
      </c>
      <c r="R2" s="6" t="str">
        <f>IF(K2="true","",campo(A2,K2)&amp;"="&amp;vincolo(A2,K2,M2))</f>
        <v>codice_azienda=${body['codice_azienda']</v>
      </c>
      <c r="S2" s="6" t="str">
        <f>IF(L2="false","",(pk(A2,L2)))</f>
        <v>codice_azienda</v>
      </c>
      <c r="T2" s="6" t="str">
        <f>IF(L2="false","",(pk_cond(E2,M2,L2)))</f>
        <v>${body['codice_azienda']</v>
      </c>
      <c r="U2" s="6" t="str">
        <f>S2&amp;"="&amp;T2</f>
        <v>codice_azienda=${body['codice_azienda']</v>
      </c>
      <c r="V2" s="2"/>
      <c r="W2" s="2"/>
      <c r="X2" s="2"/>
      <c r="Y2" t="str">
        <f>insertString(Appendice!C2,P2,Q2,$E$5)</f>
        <v>`INSERT INTO entrasp.codice_azienda_x000D_(codice_azienda)_x000D_Values_x000D_(${body['codice_azienda'])_x000D_RETURNING id_procedura;`</v>
      </c>
      <c r="Z2" t="str">
        <f>updateString(GeneraLambda!C2,Appendice!R16,Appendice!U2)</f>
        <v>`Update entrasp.procedure_aziendali_x000D_SET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id_tipo_processo=${body[id_tipo_processo]_x000D_WHERE codice_azienda=${body['codice_azienda'];`</v>
      </c>
      <c r="AA2" t="str">
        <f>deletestring(GeneraLambda!C2,U2)</f>
        <v>`DELETE FROM entrasp.procedure_aziendali_x000D_WHERE codice_azienda=${body['codice_azienda']</v>
      </c>
    </row>
    <row r="3" spans="1:27" ht="17.25" customHeight="1" x14ac:dyDescent="0.25">
      <c r="A3" t="str">
        <f>GeneraLambda!D3</f>
        <v>codice</v>
      </c>
      <c r="B3" t="s">
        <v>84</v>
      </c>
      <c r="C3" t="s">
        <v>54</v>
      </c>
      <c r="D3" t="s">
        <v>62</v>
      </c>
      <c r="E3" t="str">
        <f>GeneraLambda!D3</f>
        <v>codice</v>
      </c>
      <c r="G3" t="s">
        <v>85</v>
      </c>
      <c r="H3" t="s">
        <v>87</v>
      </c>
      <c r="I3" t="s">
        <v>87</v>
      </c>
      <c r="J3" s="4" t="s">
        <v>90</v>
      </c>
      <c r="K3" t="s">
        <v>85</v>
      </c>
      <c r="L3" t="s">
        <v>85</v>
      </c>
      <c r="M3" t="str">
        <f>GeneraLambda!H3</f>
        <v>character varying</v>
      </c>
      <c r="O3" s="2" t="str">
        <f t="shared" ref="O3:O45" si="0">O2&amp;","&amp;CHAR(10)&amp;varform(A3,B3,C3,D3,E3,F3,G3,H3,I3,J3)</f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</v>
      </c>
      <c r="P3" s="2" t="str">
        <f>IF(K3="true",P2, P2&amp;", "&amp;campo(A3,K3))</f>
        <v>codice_azienda, codice</v>
      </c>
      <c r="Q3" s="2" t="str">
        <f>IF(K3="true",Q2,Q2&amp;", "&amp;vincolo(A3,K3,M3))</f>
        <v>${body['codice_azienda'], ${body['codice']</v>
      </c>
      <c r="R3" s="6" t="str">
        <f>IF(K3="true",R2,R2&amp;", "&amp;campo(A3,K3)&amp;"="&amp;vincolo(A3,K3,M3))</f>
        <v>codice_azienda=${body['codice_azienda'], codice=${body['codice']</v>
      </c>
      <c r="S3" s="6" t="str">
        <f>IF(L3="false","",(pk(A3,L3)))</f>
        <v/>
      </c>
      <c r="T3" s="6" t="str">
        <f>IF(L3="false","",(pk_cond(E3,M3,L3)))</f>
        <v/>
      </c>
      <c r="U3" s="6" t="str">
        <f>IF(L3="false",U2, U2 &amp;" AND "&amp;S3&amp;"="&amp;T3)</f>
        <v>codice_azienda=${body['codice_azienda']</v>
      </c>
      <c r="V3" s="2"/>
      <c r="W3" s="2"/>
      <c r="X3" s="2"/>
      <c r="Y3" t="str">
        <f>insertString(Appendice!C3,P3,Q3,$E$5)</f>
        <v>`INSERT INTO entrasp.codice_x000D_(codice_azienda, codice)_x000D_Values_x000D_(${body['codice_azienda'], ${body['codice'])_x000D_RETURNING id_procedura;`</v>
      </c>
      <c r="Z3" t="str">
        <f>updateString(GeneraLambda!C3,Appendice!R17,Appendice!U3)</f>
        <v>`Update entrasp.procedure_aziendali_x000D_SET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0=${body['0']_x000D_WHERE codice_azienda=${body['codice_azienda'];`</v>
      </c>
      <c r="AA3" t="str">
        <f>deletestring(GeneraLambda!C3,U3)</f>
        <v>`DELETE FROM entrasp.procedure_aziendali_x000D_WHERE codice_azienda=${body['codice_azienda']</v>
      </c>
    </row>
    <row r="4" spans="1:27" ht="17.25" customHeight="1" x14ac:dyDescent="0.25">
      <c r="A4" t="str">
        <f>GeneraLambda!D4</f>
        <v>descrizione_breve</v>
      </c>
      <c r="B4" t="s">
        <v>84</v>
      </c>
      <c r="C4" t="s">
        <v>55</v>
      </c>
      <c r="D4" t="s">
        <v>62</v>
      </c>
      <c r="E4" t="str">
        <f>GeneraLambda!D4</f>
        <v>descrizione_breve</v>
      </c>
      <c r="G4" t="s">
        <v>85</v>
      </c>
      <c r="H4" t="s">
        <v>87</v>
      </c>
      <c r="I4" t="s">
        <v>87</v>
      </c>
      <c r="J4" s="4" t="s">
        <v>91</v>
      </c>
      <c r="K4" t="s">
        <v>85</v>
      </c>
      <c r="L4" t="s">
        <v>85</v>
      </c>
      <c r="M4" t="str">
        <f>GeneraLambda!H4</f>
        <v>character varying</v>
      </c>
      <c r="O4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</v>
      </c>
      <c r="P4" s="2" t="str">
        <f>IF(K4="true",P3, P3&amp;", "&amp;campo(A4,K4))</f>
        <v>codice_azienda, codice, descrizione_breve</v>
      </c>
      <c r="Q4" s="2" t="str">
        <f>IF(K4="true",Q3,Q3&amp;", "&amp;vincolo(A4,K4,M4))</f>
        <v>${body['codice_azienda'], ${body['codice'], ${body['descrizione_breve']</v>
      </c>
      <c r="R4" s="6" t="str">
        <f>IF(K4="true",R3,R3&amp;", "&amp;campo(A4,K4)&amp;"="&amp;vincolo(A4,K4,M4))</f>
        <v>codice_azienda=${body['codice_azienda'], codice=${body['codice'], descrizione_breve=${body['descrizione_breve']</v>
      </c>
      <c r="S4" s="6" t="str">
        <f>IF(L4="false","",(pk(A4,L4)))</f>
        <v/>
      </c>
      <c r="T4" s="6" t="str">
        <f>IF(L4="false","",(pk_cond(E4,M4,L4)))</f>
        <v/>
      </c>
      <c r="U4" s="6" t="str">
        <f t="shared" ref="U4:U67" si="1">IF(L4="false",U3, U3 &amp;" AND "&amp;S4&amp;"="&amp;T4)</f>
        <v>codice_azienda=${body['codice_azienda']</v>
      </c>
      <c r="V4" s="2"/>
      <c r="W4" s="2"/>
      <c r="X4" s="2"/>
      <c r="Y4" t="str">
        <f>insertString(Appendice!C4,P4,Q4,$E$5)</f>
        <v>`INSERT INTO entrasp.descrizione_breve_x000D_(codice_azienda, codice, descrizione_breve)_x000D_Values_x000D_(${body['codice_azienda'], ${body['codice'], ${body['descrizione_breve'])_x000D_RETURNING id_procedura;`</v>
      </c>
      <c r="Z4" t="str">
        <f>updateString(GeneraLambda!C4,Appendice!R18,Appendice!U4)</f>
        <v>`Update entrasp.procedure_aziendali_x000D_SET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0=${body['0']_x000D_WHERE codice_azienda=${body['codice_azienda'];`</v>
      </c>
      <c r="AA4" t="str">
        <f>deletestring(GeneraLambda!C4,U4)</f>
        <v>`DELETE FROM entrasp.procedure_aziendali_x000D_WHERE codice_azienda=${body['codice_azienda']</v>
      </c>
    </row>
    <row r="5" spans="1:27" ht="17.25" customHeight="1" x14ac:dyDescent="0.25">
      <c r="A5" t="str">
        <f>GeneraLambda!D5</f>
        <v>id_procedura</v>
      </c>
      <c r="B5" t="s">
        <v>84</v>
      </c>
      <c r="C5" t="s">
        <v>56</v>
      </c>
      <c r="D5" t="s">
        <v>62</v>
      </c>
      <c r="E5" t="str">
        <f>GeneraLambda!D5</f>
        <v>id_procedura</v>
      </c>
      <c r="G5" t="s">
        <v>87</v>
      </c>
      <c r="H5" t="s">
        <v>87</v>
      </c>
      <c r="I5" t="s">
        <v>87</v>
      </c>
      <c r="J5" t="s">
        <v>85</v>
      </c>
      <c r="K5" t="s">
        <v>87</v>
      </c>
      <c r="L5" t="s">
        <v>87</v>
      </c>
      <c r="M5" t="str">
        <f>GeneraLambda!H5</f>
        <v>numeric</v>
      </c>
      <c r="O5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</v>
      </c>
      <c r="P5" s="2" t="str">
        <f>IF(K5="true",P4, P4&amp;", "&amp;campo(A5,K5))</f>
        <v>codice_azienda, codice, descrizione_breve</v>
      </c>
      <c r="Q5" s="2" t="str">
        <f>IF(K5="true",Q4,Q4&amp;", "&amp;vincolo(A5,K5,M5))</f>
        <v>${body['codice_azienda'], ${body['codice'], ${body['descrizione_breve']</v>
      </c>
      <c r="R5" s="6" t="str">
        <f>IF(K5="true",R4,R4&amp;", "&amp;campo(A5,K5)&amp;"="&amp;vincolo(A5,K5,M5))</f>
        <v>codice_azienda=${body['codice_azienda'], codice=${body['codice'], descrizione_breve=${body['descrizione_breve']</v>
      </c>
      <c r="S5" s="6" t="str">
        <f>IF(L5="false","",(pk(A5,L5)))</f>
        <v>id_procedura</v>
      </c>
      <c r="T5" s="6" t="str">
        <f>IF(L5="false","",(pk_cond(E5,M5,L5)))</f>
        <v>${body['id_procedura']</v>
      </c>
      <c r="U5" s="6" t="str">
        <f t="shared" si="1"/>
        <v>codice_azienda=${body['codice_azienda'] AND id_procedura=${body['id_procedura']</v>
      </c>
      <c r="V5" s="2"/>
      <c r="W5" s="2"/>
      <c r="X5" s="2"/>
      <c r="Y5" t="str">
        <f>insertString(Appendice!C5,P5,Q5,$E$5)</f>
        <v>`INSERT INTO entrasp.id_procedura_x000D_(codice_azienda, codice, descrizione_breve)_x000D_Values_x000D_(${body['codice_azienda'], ${body['codice'], ${body['descrizione_breve'])_x000D_RETURNING id_procedura;`</v>
      </c>
      <c r="Z5" t="str">
        <f>updateString(GeneraLambda!C5,Appendice!R19,Appendice!U5)</f>
        <v>`Update entrasp.procedure_aziendali_x000D_SET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0=${body['0']_x000D_WHERE codice_azienda=${body['codice_azienda'] AND id_procedura=${body['id_procedura'];`</v>
      </c>
      <c r="AA5" t="str">
        <f>deletestring(GeneraLambda!C5,U5)</f>
        <v>`DELETE FROM entrasp.procedure_aziendali_x000D_WHERE codice_azienda=${body['codice_azienda'] AND id_procedura=${body['id_procedura']</v>
      </c>
    </row>
    <row r="6" spans="1:27" ht="17.25" customHeight="1" x14ac:dyDescent="0.25">
      <c r="A6" t="str">
        <f>GeneraLambda!D6</f>
        <v>id_procedura_parent</v>
      </c>
      <c r="B6" t="s">
        <v>86</v>
      </c>
      <c r="C6" t="s">
        <v>58</v>
      </c>
      <c r="D6" t="s">
        <v>62</v>
      </c>
      <c r="E6" t="str">
        <f>GeneraLambda!D6</f>
        <v>id_procedura_parent</v>
      </c>
      <c r="G6" t="s">
        <v>85</v>
      </c>
      <c r="H6" t="s">
        <v>87</v>
      </c>
      <c r="I6" t="s">
        <v>87</v>
      </c>
      <c r="J6" t="s">
        <v>85</v>
      </c>
      <c r="K6" t="s">
        <v>85</v>
      </c>
      <c r="L6" t="s">
        <v>85</v>
      </c>
      <c r="M6" t="str">
        <f>GeneraLambda!H6</f>
        <v>numeric</v>
      </c>
      <c r="O6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</v>
      </c>
      <c r="P6" s="2" t="str">
        <f>IF(K6="true",P5, P5&amp;", "&amp;campo(A6,K6))</f>
        <v>codice_azienda, codice, descrizione_breve, id_procedura_parent</v>
      </c>
      <c r="Q6" s="2" t="str">
        <f>IF(K6="true",Q5,Q5&amp;", "&amp;vincolo(A6,K6,M6))</f>
        <v>${body['codice_azienda'], ${body['codice'], ${body['descrizione_breve'], ${body[id_procedura_parent]</v>
      </c>
      <c r="R6" s="6" t="str">
        <f>IF(K6="true",R5,R5&amp;", "&amp;campo(A6,K6)&amp;"="&amp;vincolo(A6,K6,M6))</f>
        <v>codice_azienda=${body['codice_azienda'], codice=${body['codice'], descrizione_breve=${body['descrizione_breve'], id_procedura_parent=${body[id_procedura_parent]</v>
      </c>
      <c r="S6" s="6" t="str">
        <f>IF(L6="false","",(pk(A6,L6)))</f>
        <v/>
      </c>
      <c r="T6" s="6" t="str">
        <f>IF(L6="false","",(pk_cond(E6,M6,L6)))</f>
        <v/>
      </c>
      <c r="U6" s="6" t="str">
        <f t="shared" si="1"/>
        <v>codice_azienda=${body['codice_azienda'] AND id_procedura=${body['id_procedura']</v>
      </c>
      <c r="V6" s="2"/>
      <c r="W6" s="2"/>
      <c r="X6" s="2"/>
      <c r="Y6" t="str">
        <f>insertString(Appendice!C6,P6,Q6,$E$5)</f>
        <v>`INSERT INTO entrasp.id_procedura_parent_x000D_(codice_azienda, codice, descrizione_breve, id_procedura_parent)_x000D_Values_x000D_(${body['codice_azienda'], ${body['codice'], ${body['descrizione_breve'], ${body[id_procedura_parent])_x000D_RETURNING id_procedura;`</v>
      </c>
      <c r="Z6" t="str">
        <f>updateString(GeneraLambda!C6,Appendice!R20,Appendice!U6)</f>
        <v>`Update entrasp.procedure_aziendali_x000D_SET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0=${body['0']_x000D_WHERE codice_azienda=${body['codice_azienda'] AND id_procedura=${body['id_procedura'];`</v>
      </c>
      <c r="AA6" t="str">
        <f>deletestring(GeneraLambda!C6,U6)</f>
        <v>`DELETE FROM entrasp.procedure_aziendali_x000D_WHERE codice_azienda=${body['codice_azienda'] AND id_procedura=${body['id_procedura']</v>
      </c>
    </row>
    <row r="7" spans="1:27" ht="17.25" customHeight="1" x14ac:dyDescent="0.25">
      <c r="A7" t="str">
        <f>GeneraLambda!D7</f>
        <v>ordinamento</v>
      </c>
      <c r="B7" t="s">
        <v>84</v>
      </c>
      <c r="C7" t="s">
        <v>59</v>
      </c>
      <c r="D7" t="s">
        <v>62</v>
      </c>
      <c r="E7" t="str">
        <f>GeneraLambda!D7</f>
        <v>ordinamento</v>
      </c>
      <c r="G7" t="s">
        <v>85</v>
      </c>
      <c r="H7" t="s">
        <v>87</v>
      </c>
      <c r="I7" t="s">
        <v>87</v>
      </c>
      <c r="J7" t="s">
        <v>85</v>
      </c>
      <c r="K7" t="s">
        <v>85</v>
      </c>
      <c r="L7" t="s">
        <v>85</v>
      </c>
      <c r="M7" t="str">
        <f>GeneraLambda!H7</f>
        <v>numeric</v>
      </c>
      <c r="O7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</v>
      </c>
      <c r="P7" s="2" t="str">
        <f>IF(K7="true",P6, P6&amp;", "&amp;campo(A7,K7))</f>
        <v>codice_azienda, codice, descrizione_breve, id_procedura_parent, ordinamento</v>
      </c>
      <c r="Q7" s="2" t="str">
        <f>IF(K7="true",Q6,Q6&amp;", "&amp;vincolo(A7,K7,M7))</f>
        <v>${body['codice_azienda'], ${body['codice'], ${body['descrizione_breve'], ${body[id_procedura_parent], ${body[ordinamento]</v>
      </c>
      <c r="R7" s="6" t="str">
        <f>IF(K7="true",R6,R6&amp;", "&amp;campo(A7,K7)&amp;"="&amp;vincolo(A7,K7,M7))</f>
        <v>codice_azienda=${body['codice_azienda'], codice=${body['codice'], descrizione_breve=${body['descrizione_breve'], id_procedura_parent=${body[id_procedura_parent], ordinamento=${body[ordinamento]</v>
      </c>
      <c r="S7" s="6" t="str">
        <f>IF(L7="false","",(pk(A7,L7)))</f>
        <v/>
      </c>
      <c r="T7" s="6" t="str">
        <f>IF(L7="false","",(pk_cond(E7,M7,L7)))</f>
        <v/>
      </c>
      <c r="U7" s="6" t="str">
        <f t="shared" si="1"/>
        <v>codice_azienda=${body['codice_azienda'] AND id_procedura=${body['id_procedura']</v>
      </c>
      <c r="V7" s="2"/>
      <c r="W7" s="2"/>
      <c r="X7" s="2"/>
      <c r="Y7" t="str">
        <f>insertString(Appendice!C7,P7,Q7,$E$5)</f>
        <v>`INSERT INTO entrasp.ordinamento_x000D_(codice_azienda, codice, descrizione_breve, id_procedura_parent, ordinamento)_x000D_Values_x000D_(${body['codice_azienda'], ${body['codice'], ${body['descrizione_breve'], ${body[id_procedura_parent], ${body[ordinamento])_x000D_RETURNING id_procedura;`</v>
      </c>
      <c r="Z7" t="str">
        <f>updateString(GeneraLambda!C7,Appendice!R21,Appendice!U7)</f>
        <v>`Update entrasp.procedure_aziendali_x000D_SET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0=${body['0']_x000D_WHERE codice_azienda=${body['codice_azienda'] AND id_procedura=${body['id_procedura'];`</v>
      </c>
      <c r="AA7" t="str">
        <f>deletestring(GeneraLambda!C7,U7)</f>
        <v>`DELETE FROM entrasp.procedure_aziendali_x000D_WHERE codice_azienda=${body['codice_azienda'] AND id_procedura=${body['id_procedura']</v>
      </c>
    </row>
    <row r="8" spans="1:27" ht="17.25" customHeight="1" x14ac:dyDescent="0.25">
      <c r="A8" t="str">
        <f>GeneraLambda!D8</f>
        <v>tree_path</v>
      </c>
      <c r="B8" t="s">
        <v>84</v>
      </c>
      <c r="C8" t="s">
        <v>60</v>
      </c>
      <c r="D8" t="s">
        <v>62</v>
      </c>
      <c r="E8" t="str">
        <f>GeneraLambda!D8</f>
        <v>tree_path</v>
      </c>
      <c r="G8" t="s">
        <v>85</v>
      </c>
      <c r="H8" t="s">
        <v>87</v>
      </c>
      <c r="I8" t="s">
        <v>87</v>
      </c>
      <c r="J8" t="s">
        <v>85</v>
      </c>
      <c r="K8" t="s">
        <v>85</v>
      </c>
      <c r="L8" t="s">
        <v>85</v>
      </c>
      <c r="M8" t="str">
        <f>GeneraLambda!H8</f>
        <v>character varying</v>
      </c>
      <c r="O8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</v>
      </c>
      <c r="P8" s="2" t="str">
        <f>IF(K8="true",P7, P7&amp;", "&amp;campo(A8,K8))</f>
        <v>codice_azienda, codice, descrizione_breve, id_procedura_parent, ordinamento, tree_path</v>
      </c>
      <c r="Q8" s="2" t="str">
        <f>IF(K8="true",Q7,Q7&amp;", "&amp;vincolo(A8,K8,M8))</f>
        <v>${body['codice_azienda'], ${body['codice'], ${body['descrizione_breve'], ${body[id_procedura_parent], ${body[ordinamento], ${body['tree_path']</v>
      </c>
      <c r="R8" s="6" t="str">
        <f>IF(K8="true",R7,R7&amp;", "&amp;campo(A8,K8)&amp;"="&amp;vincolo(A8,K8,M8))</f>
        <v>codice_azienda=${body['codice_azienda'], codice=${body['codice'], descrizione_breve=${body['descrizione_breve'], id_procedura_parent=${body[id_procedura_parent], ordinamento=${body[ordinamento], tree_path=${body['tree_path']</v>
      </c>
      <c r="S8" s="6" t="str">
        <f>IF(L8="false","",(pk(A8,L8)))</f>
        <v/>
      </c>
      <c r="T8" s="6" t="str">
        <f>IF(L8="false","",(pk_cond(E8,M8,L8)))</f>
        <v/>
      </c>
      <c r="U8" s="6" t="str">
        <f t="shared" si="1"/>
        <v>codice_azienda=${body['codice_azienda'] AND id_procedura=${body['id_procedura']</v>
      </c>
      <c r="V8" s="2"/>
      <c r="W8" s="2"/>
      <c r="X8" s="2"/>
      <c r="Y8" t="str">
        <f>insertString(Appendice!C8,P8,Q8,$E$5)</f>
        <v>`INSERT INTO entrasp.tree_path_x000D_(codice_azienda, codice, descrizione_breve, id_procedura_parent, ordinamento, tree_path)_x000D_Values_x000D_(${body['codice_azienda'], ${body['codice'], ${body['descrizione_breve'], ${body[id_procedura_parent], ${body[ordinamento], ${body['tree_path'])_x000D_RETURNING id_procedura;`</v>
      </c>
      <c r="Z8" t="str">
        <f>updateString(GeneraLambda!C8,Appendice!R22,Appendice!U8)</f>
        <v>`Update entrasp.procedure_aziendali_x000D_SET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0=${body['0']_x000D_WHERE codice_azienda=${body['codice_azienda'] AND id_procedura=${body['id_procedura'];`</v>
      </c>
      <c r="AA8" t="str">
        <f>deletestring(GeneraLambda!C8,U8)</f>
        <v>`DELETE FROM entrasp.procedure_aziendali_x000D_WHERE codice_azienda=${body['codice_azienda'] AND id_procedura=${body['id_procedura']</v>
      </c>
    </row>
    <row r="9" spans="1:27" ht="17.25" customHeight="1" x14ac:dyDescent="0.25">
      <c r="A9" t="str">
        <f>GeneraLambda!D9</f>
        <v>frequenza</v>
      </c>
      <c r="B9" t="s">
        <v>84</v>
      </c>
      <c r="C9" t="s">
        <v>61</v>
      </c>
      <c r="D9" t="s">
        <v>62</v>
      </c>
      <c r="E9" t="str">
        <f>GeneraLambda!D9</f>
        <v>frequenza</v>
      </c>
      <c r="G9" t="s">
        <v>85</v>
      </c>
      <c r="H9" t="s">
        <v>87</v>
      </c>
      <c r="I9" t="s">
        <v>87</v>
      </c>
      <c r="J9" t="s">
        <v>85</v>
      </c>
      <c r="K9" t="s">
        <v>85</v>
      </c>
      <c r="L9" t="s">
        <v>85</v>
      </c>
      <c r="M9" t="str">
        <f>GeneraLambda!H9</f>
        <v>text</v>
      </c>
      <c r="O9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</v>
      </c>
      <c r="P9" s="2" t="str">
        <f>IF(K9="true",P8, P8&amp;", "&amp;campo(A9,K9))</f>
        <v>codice_azienda, codice, descrizione_breve, id_procedura_parent, ordinamento, tree_path, frequenza</v>
      </c>
      <c r="Q9" s="2" t="str">
        <f>IF(K9="true",Q8,Q8&amp;", "&amp;vincolo(A9,K9,M9))</f>
        <v>${body['codice_azienda'], ${body['codice'], ${body['descrizione_breve'], ${body[id_procedura_parent], ${body[ordinamento], ${body['tree_path'], ${body['frequenza']</v>
      </c>
      <c r="R9" s="6" t="str">
        <f>IF(K9="true",R8,R8&amp;", "&amp;campo(A9,K9)&amp;"="&amp;vincolo(A9,K9,M9))</f>
        <v>codice_azienda=${body['codice_azienda'], codice=${body['codice'], descrizione_breve=${body['descrizione_breve'], id_procedura_parent=${body[id_procedura_parent], ordinamento=${body[ordinamento], tree_path=${body['tree_path'], frequenza=${body['frequenza']</v>
      </c>
      <c r="S9" s="6" t="str">
        <f>IF(L9="false","",(pk(A9,L9)))</f>
        <v/>
      </c>
      <c r="T9" s="6" t="str">
        <f>IF(L9="false","",(pk_cond(E9,M9,L9)))</f>
        <v/>
      </c>
      <c r="U9" s="6" t="str">
        <f t="shared" si="1"/>
        <v>codice_azienda=${body['codice_azienda'] AND id_procedura=${body['id_procedura']</v>
      </c>
      <c r="V9" s="2"/>
      <c r="W9" s="2"/>
      <c r="X9" s="2"/>
      <c r="Y9" t="str">
        <f>insertString(Appendice!C9,P9,Q9,$E$5)</f>
        <v>`INSERT INTO entrasp.frequenza_x000D_(codice_azienda, codice, descrizione_breve, id_procedura_parent, ordinamento, tree_path, frequenza)_x000D_Values_x000D_(${body['codice_azienda'], ${body['codice'], ${body['descrizione_breve'], ${body[id_procedura_parent], ${body[ordinamento], ${body['tree_path'], ${body['frequenza'])_x000D_RETURNING id_procedura;`</v>
      </c>
      <c r="Z9" t="str">
        <f>updateString(GeneraLambda!C9,Appendice!R23,Appendice!U9)</f>
        <v>`Update entrasp.procedure_aziendali_x000D_SET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0=${body['0']_x000D_WHERE codice_azienda=${body['codice_azienda'] AND id_procedura=${body['id_procedura'];`</v>
      </c>
      <c r="AA9" t="str">
        <f>deletestring(GeneraLambda!C9,U9)</f>
        <v>`DELETE FROM entrasp.procedure_aziendali_x000D_WHERE codice_azienda=${body['codice_azienda'] AND id_procedura=${body['id_procedura']</v>
      </c>
    </row>
    <row r="10" spans="1:27" ht="17.25" customHeight="1" x14ac:dyDescent="0.25">
      <c r="A10" t="str">
        <f>GeneraLambda!D10</f>
        <v>strumento_informatico</v>
      </c>
      <c r="B10" t="s">
        <v>84</v>
      </c>
      <c r="C10" t="s">
        <v>63</v>
      </c>
      <c r="D10" t="s">
        <v>62</v>
      </c>
      <c r="E10" t="str">
        <f>GeneraLambda!D10</f>
        <v>strumento_informatico</v>
      </c>
      <c r="G10" t="s">
        <v>85</v>
      </c>
      <c r="H10" t="s">
        <v>87</v>
      </c>
      <c r="I10" t="s">
        <v>87</v>
      </c>
      <c r="J10" t="s">
        <v>85</v>
      </c>
      <c r="K10" t="s">
        <v>85</v>
      </c>
      <c r="L10" t="s">
        <v>85</v>
      </c>
      <c r="M10" t="str">
        <f>GeneraLambda!H10</f>
        <v>text</v>
      </c>
      <c r="O10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</v>
      </c>
      <c r="P10" s="2" t="str">
        <f>IF(K10="true",P9, P9&amp;", "&amp;campo(A10,K10))</f>
        <v>codice_azienda, codice, descrizione_breve, id_procedura_parent, ordinamento, tree_path, frequenza, strumento_informatico</v>
      </c>
      <c r="Q10" s="2" t="str">
        <f>IF(K10="true",Q9,Q9&amp;", "&amp;vincolo(A10,K10,M10))</f>
        <v>${body['codice_azienda'], ${body['codice'], ${body['descrizione_breve'], ${body[id_procedura_parent], ${body[ordinamento], ${body['tree_path'], ${body['frequenza'], ${body['strumento_informatico']</v>
      </c>
      <c r="R10" s="6" t="str">
        <f>IF(K10="true",R9,R9&amp;", "&amp;campo(A10,K10)&amp;"="&amp;vincolo(A10,K10,M10))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</v>
      </c>
      <c r="S10" s="6" t="str">
        <f>IF(L10="false","",(pk(A10,L10)))</f>
        <v/>
      </c>
      <c r="T10" s="6" t="str">
        <f>IF(L10="false","",(pk_cond(E10,M10,L10)))</f>
        <v/>
      </c>
      <c r="U10" s="6" t="str">
        <f t="shared" si="1"/>
        <v>codice_azienda=${body['codice_azienda'] AND id_procedura=${body['id_procedura']</v>
      </c>
      <c r="V10" s="2"/>
      <c r="W10" s="2"/>
      <c r="X10" s="2"/>
      <c r="Y10" t="str">
        <f>insertString(Appendice!C10,P10,Q10,$E$5)</f>
        <v>`INSERT INTO entrasp.strumento_informatico_x000D_(codice_azienda, codice, descrizione_breve, id_procedura_parent, ordinamento, tree_path, frequenza, strumento_informatico)_x000D_Values_x000D_(${body['codice_azienda'], ${body['codice'], ${body['descrizione_breve'], ${body[id_procedura_parent], ${body[ordinamento], ${body['tree_path'], ${body['frequenza'], ${body['strumento_informatico'])_x000D_RETURNING id_procedura;`</v>
      </c>
      <c r="Z10" t="str">
        <f>updateString(GeneraLambda!C10,Appendice!R24,Appendice!U10)</f>
        <v>`Update entrasp.procedure_aziendali_x000D_SET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0=${body['0']_x000D_WHERE codice_azienda=${body['codice_azienda'] AND id_procedura=${body['id_procedura'];`</v>
      </c>
      <c r="AA10" t="str">
        <f>deletestring(GeneraLambda!C10,U10)</f>
        <v>`DELETE FROM entrasp.procedure_aziendali_x000D_WHERE codice_azienda=${body['codice_azienda'] AND id_procedura=${body['id_procedura']</v>
      </c>
    </row>
    <row r="11" spans="1:27" ht="17.25" customHeight="1" x14ac:dyDescent="0.25">
      <c r="A11" t="str">
        <f>GeneraLambda!D11</f>
        <v>id_centro_gest</v>
      </c>
      <c r="B11" t="s">
        <v>86</v>
      </c>
      <c r="C11" t="s">
        <v>64</v>
      </c>
      <c r="D11" t="s">
        <v>62</v>
      </c>
      <c r="E11" t="str">
        <f>GeneraLambda!D11</f>
        <v>id_centro_gest</v>
      </c>
      <c r="G11" t="s">
        <v>85</v>
      </c>
      <c r="H11" t="s">
        <v>87</v>
      </c>
      <c r="I11" t="s">
        <v>87</v>
      </c>
      <c r="J11" t="s">
        <v>85</v>
      </c>
      <c r="K11" t="s">
        <v>85</v>
      </c>
      <c r="L11" t="s">
        <v>85</v>
      </c>
      <c r="M11" t="str">
        <f>GeneraLambda!H11</f>
        <v>numeric</v>
      </c>
      <c r="O11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</v>
      </c>
      <c r="P11" s="2" t="str">
        <f>IF(K11="true",P10, P10&amp;", "&amp;campo(A11,K11))</f>
        <v>codice_azienda, codice, descrizione_breve, id_procedura_parent, ordinamento, tree_path, frequenza, strumento_informatico, id_centro_gest</v>
      </c>
      <c r="Q11" s="2" t="str">
        <f>IF(K11="true",Q10,Q10&amp;", "&amp;vincolo(A11,K11,M11))</f>
        <v>${body['codice_azienda'], ${body['codice'], ${body['descrizione_breve'], ${body[id_procedura_parent], ${body[ordinamento], ${body['tree_path'], ${body['frequenza'], ${body['strumento_informatico'], ${body[id_centro_gest]</v>
      </c>
      <c r="R11" s="6" t="str">
        <f>IF(K11="true",R10,R10&amp;", "&amp;campo(A11,K11)&amp;"="&amp;vincolo(A11,K11,M11))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</v>
      </c>
      <c r="S11" s="6" t="str">
        <f>IF(L11="false","",(pk(A11,L11)))</f>
        <v/>
      </c>
      <c r="T11" s="6" t="str">
        <f>IF(L11="false","",(pk_cond(E11,M11,L11)))</f>
        <v/>
      </c>
      <c r="U11" s="6" t="str">
        <f t="shared" si="1"/>
        <v>codice_azienda=${body['codice_azienda'] AND id_procedura=${body['id_procedura']</v>
      </c>
      <c r="V11" s="2"/>
      <c r="W11" s="2"/>
      <c r="X11" s="2"/>
      <c r="Y11" t="str">
        <f>insertString(Appendice!C11,P11,Q11,$E$5)</f>
        <v>`INSERT INTO entrasp.id_centro_gest_x000D_(codice_azienda, codice, descrizione_breve, id_procedura_parent, ordinamento, tree_path, frequenza, strumento_informatico, id_centro_gest)_x000D_Values_x000D_(${body['codice_azienda'], ${body['codice'], ${body['descrizione_breve'], ${body[id_procedura_parent], ${body[ordinamento], ${body['tree_path'], ${body['frequenza'], ${body['strumento_informatico'], ${body[id_centro_gest])_x000D_RETURNING id_procedura;`</v>
      </c>
      <c r="Z11" t="str">
        <f>updateString(GeneraLambda!C11,Appendice!R25,Appendice!U11)</f>
        <v>`Update entrasp.procedure_aziendali_x000D_SET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0=${body['0']_x000D_WHERE codice_azienda=${body['codice_azienda'] AND id_procedura=${body['id_procedura'];`</v>
      </c>
      <c r="AA11" t="str">
        <f>deletestring(GeneraLambda!C11,U11)</f>
        <v>`DELETE FROM entrasp.procedure_aziendali_x000D_WHERE codice_azienda=${body['codice_azienda'] AND id_procedura=${body['id_procedura']</v>
      </c>
    </row>
    <row r="12" spans="1:27" ht="17.25" customHeight="1" x14ac:dyDescent="0.25">
      <c r="A12" t="str">
        <f>GeneraLambda!D12</f>
        <v>codice_part</v>
      </c>
      <c r="B12" t="s">
        <v>84</v>
      </c>
      <c r="C12" t="s">
        <v>65</v>
      </c>
      <c r="D12" t="s">
        <v>62</v>
      </c>
      <c r="E12" t="str">
        <f>GeneraLambda!D12</f>
        <v>codice_part</v>
      </c>
      <c r="G12" t="s">
        <v>85</v>
      </c>
      <c r="H12" t="s">
        <v>87</v>
      </c>
      <c r="I12" t="s">
        <v>87</v>
      </c>
      <c r="J12" t="s">
        <v>85</v>
      </c>
      <c r="K12" t="s">
        <v>85</v>
      </c>
      <c r="L12" t="s">
        <v>85</v>
      </c>
      <c r="M12" t="str">
        <f>GeneraLambda!H12</f>
        <v>character varying</v>
      </c>
      <c r="O12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</v>
      </c>
      <c r="P12" s="2" t="str">
        <f>IF(K12="true",P11, P11&amp;", "&amp;campo(A12,K12))</f>
        <v>codice_azienda, codice, descrizione_breve, id_procedura_parent, ordinamento, tree_path, frequenza, strumento_informatico, id_centro_gest, codice_part</v>
      </c>
      <c r="Q12" s="2" t="str">
        <f>IF(K12="true",Q11,Q11&amp;", "&amp;vincolo(A12,K12,M12))</f>
        <v>${body['codice_azienda'], ${body['codice'], ${body['descrizione_breve'], ${body[id_procedura_parent], ${body[ordinamento], ${body['tree_path'], ${body['frequenza'], ${body['strumento_informatico'], ${body[id_centro_gest], ${body['codice_part']</v>
      </c>
      <c r="R12" s="6" t="str">
        <f>IF(K12="true",R11,R11&amp;", "&amp;campo(A12,K12)&amp;"="&amp;vincolo(A12,K12,M12))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</v>
      </c>
      <c r="S12" s="6" t="str">
        <f>IF(L12="false","",(pk(A12,L12)))</f>
        <v/>
      </c>
      <c r="T12" s="6" t="str">
        <f>IF(L12="false","",(pk_cond(E12,M12,L12)))</f>
        <v/>
      </c>
      <c r="U12" s="6" t="str">
        <f t="shared" si="1"/>
        <v>codice_azienda=${body['codice_azienda'] AND id_procedura=${body['id_procedura']</v>
      </c>
      <c r="V12" s="2"/>
      <c r="W12" s="2"/>
      <c r="X12" s="2"/>
      <c r="Y12" t="str">
        <f>insertString(Appendice!C12,P12,Q12,$E$5)</f>
        <v>`INSERT INTO entrasp.codice_part_x000D_(codice_azienda, codice, descrizione_breve, id_procedura_parent, ordinamento, tree_path, frequenza, strumento_informatico, id_centro_gest, codice_part)_x000D_Values_x000D_(${body['codice_azienda'], ${body['codice'], ${body['descrizione_breve'], ${body[id_procedura_parent], ${body[ordinamento], ${body['tree_path'], ${body['frequenza'], ${body['strumento_informatico'], ${body[id_centro_gest], ${body['codice_part'])_x000D_RETURNING id_procedura;`</v>
      </c>
      <c r="Z12" t="str">
        <f>updateString(GeneraLambda!C12,Appendice!R26,Appendice!U12)</f>
        <v>`Update entrasp.procedure_aziendali_x000D_SET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0=${body['0']_x000D_WHERE codice_azienda=${body['codice_azienda'] AND id_procedura=${body['id_procedura'];`</v>
      </c>
      <c r="AA12" t="str">
        <f>deletestring(GeneraLambda!C12,U12)</f>
        <v>`DELETE FROM entrasp.procedure_aziendali_x000D_WHERE codice_azienda=${body['codice_azienda'] AND id_procedura=${body['id_procedura']</v>
      </c>
    </row>
    <row r="13" spans="1:27" ht="17.25" customHeight="1" x14ac:dyDescent="0.25">
      <c r="A13" t="str">
        <f>GeneraLambda!D13</f>
        <v>descrizione</v>
      </c>
      <c r="B13" t="s">
        <v>84</v>
      </c>
      <c r="C13" t="s">
        <v>66</v>
      </c>
      <c r="D13" t="s">
        <v>62</v>
      </c>
      <c r="E13" t="str">
        <f>GeneraLambda!D13</f>
        <v>descrizione</v>
      </c>
      <c r="G13" t="s">
        <v>85</v>
      </c>
      <c r="H13" t="s">
        <v>87</v>
      </c>
      <c r="I13" t="s">
        <v>87</v>
      </c>
      <c r="J13" s="4" t="s">
        <v>90</v>
      </c>
      <c r="K13" t="s">
        <v>85</v>
      </c>
      <c r="L13" t="s">
        <v>85</v>
      </c>
      <c r="M13" t="str">
        <f>GeneraLambda!H13</f>
        <v>text</v>
      </c>
      <c r="O13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</v>
      </c>
      <c r="P13" s="2" t="str">
        <f>IF(K13="true",P12, P12&amp;", "&amp;campo(A13,K13))</f>
        <v>codice_azienda, codice, descrizione_breve, id_procedura_parent, ordinamento, tree_path, frequenza, strumento_informatico, id_centro_gest, codice_part, descrizione</v>
      </c>
      <c r="Q13" s="2" t="str">
        <f>IF(K13="true",Q12,Q12&amp;", "&amp;vincolo(A13,K13,M13))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</v>
      </c>
      <c r="R13" s="6" t="str">
        <f>IF(K13="true",R12,R12&amp;", "&amp;campo(A13,K13)&amp;"="&amp;vincolo(A13,K13,M13))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</v>
      </c>
      <c r="S13" s="6" t="str">
        <f>IF(L13="false","",(pk(A13,L13)))</f>
        <v/>
      </c>
      <c r="T13" s="6" t="str">
        <f>IF(L13="false","",(pk_cond(E13,M13,L13)))</f>
        <v/>
      </c>
      <c r="U13" s="6" t="str">
        <f t="shared" si="1"/>
        <v>codice_azienda=${body['codice_azienda'] AND id_procedura=${body['id_procedura']</v>
      </c>
      <c r="V13" s="2"/>
      <c r="W13" s="2"/>
      <c r="X13" s="2"/>
      <c r="Y13" t="str">
        <f>insertString(Appendice!C13,P13,Q13,$E$5)</f>
        <v>`INSERT INTO entrasp.descrizione_x000D_(codice_azienda, codice, descrizione_breve, id_procedura_parent, ordinamento, tree_path, frequenza, strumento_informatico, id_centro_gest, codice_part, descrizione)_x000D_Values_x000D_(${body['codice_azienda'],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${body['descrizione'])_x000D_RETURNING id_procedura;`</v>
      </c>
      <c r="Z13" t="str">
        <f>updateString(GeneraLambda!C13,Appendice!R27,Appendice!U13)</f>
        <v>`Update entrasp.procedure_aziendali_x000D_SET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13" t="str">
        <f>deletestring(GeneraLambda!C13,U13)</f>
        <v>`DELETE FROM entrasp.procedure_aziendali_x000D_WHERE codice_azienda=${body['codice_azienda'] AND id_procedura=${body['id_procedura']</v>
      </c>
    </row>
    <row r="14" spans="1:27" ht="17.25" customHeight="1" x14ac:dyDescent="0.25">
      <c r="A14" t="str">
        <f>GeneraLambda!D14</f>
        <v>tipo_procedura</v>
      </c>
      <c r="B14" t="s">
        <v>86</v>
      </c>
      <c r="C14" t="s">
        <v>67</v>
      </c>
      <c r="D14" t="s">
        <v>62</v>
      </c>
      <c r="E14" t="str">
        <f>GeneraLambda!D14</f>
        <v>tipo_procedura</v>
      </c>
      <c r="G14" t="s">
        <v>85</v>
      </c>
      <c r="H14" t="s">
        <v>87</v>
      </c>
      <c r="I14" t="s">
        <v>87</v>
      </c>
      <c r="J14" t="s">
        <v>85</v>
      </c>
      <c r="K14" t="s">
        <v>85</v>
      </c>
      <c r="L14" t="s">
        <v>85</v>
      </c>
      <c r="M14" t="str">
        <f>GeneraLambda!H14</f>
        <v>character</v>
      </c>
      <c r="O14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</v>
      </c>
      <c r="P14" s="2" t="str">
        <f>IF(K14="true",P13, P13&amp;", "&amp;campo(A14,K14))</f>
        <v>codice_azienda, codice, descrizione_breve, id_procedura_parent, ordinamento, tree_path, frequenza, strumento_informatico, id_centro_gest, codice_part, descrizione, tipo_procedura</v>
      </c>
      <c r="Q14" s="2" t="str">
        <f>IF(K14="true",Q13,Q13&amp;", "&amp;vincolo(A14,K14,M14))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</v>
      </c>
      <c r="R14" s="6" t="str">
        <f>IF(K14="true",R13,R13&amp;", "&amp;campo(A14,K14)&amp;"="&amp;vincolo(A14,K14,M14))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</v>
      </c>
      <c r="S14" s="6" t="str">
        <f>IF(L14="false","",(pk(A14,L14)))</f>
        <v/>
      </c>
      <c r="T14" s="6" t="str">
        <f>IF(L14="false","",(pk_cond(E14,M14,L14)))</f>
        <v/>
      </c>
      <c r="U14" s="6" t="str">
        <f t="shared" si="1"/>
        <v>codice_azienda=${body['codice_azienda'] AND id_procedura=${body['id_procedura']</v>
      </c>
      <c r="V14" s="2"/>
      <c r="W14" s="2"/>
      <c r="X14" s="2"/>
      <c r="Y14" t="str">
        <f>insertString(Appendice!C14,P14,Q14,$E$5)</f>
        <v>`INSERT INTO entrasp.tipo_procedura_x000D_(codice_azienda, codice, descrizione_breve, id_procedura_parent, ordinamento, tree_path, frequenza, strumento_informatico, id_centro_gest, codice_part, descrizione, tipo_procedura)_x000D_Values_x000D_(${body['codice_azienda'],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${body['tipo_procedura'])_x000D_RETURNING id_procedura;`</v>
      </c>
      <c r="Z14" t="str">
        <f>updateString(GeneraLambda!C14,Appendice!R28,Appendice!U14)</f>
        <v>`Update entrasp.procedure_aziendali_x000D_SET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14" t="str">
        <f>deletestring(GeneraLambda!C14,U14)</f>
        <v>`DELETE FROM entrasp.procedure_aziendali_x000D_WHERE codice_azienda=${body['codice_azienda'] AND id_procedura=${body['id_procedura']</v>
      </c>
    </row>
    <row r="15" spans="1:27" ht="17.25" customHeight="1" x14ac:dyDescent="0.25">
      <c r="A15" t="str">
        <f>GeneraLambda!D15</f>
        <v>stato_attuazione</v>
      </c>
      <c r="B15" t="s">
        <v>86</v>
      </c>
      <c r="C15" t="s">
        <v>71</v>
      </c>
      <c r="D15" t="s">
        <v>62</v>
      </c>
      <c r="E15" t="str">
        <f>GeneraLambda!D15</f>
        <v>stato_attuazione</v>
      </c>
      <c r="G15" t="s">
        <v>85</v>
      </c>
      <c r="H15" t="s">
        <v>87</v>
      </c>
      <c r="I15" t="s">
        <v>87</v>
      </c>
      <c r="J15" t="s">
        <v>85</v>
      </c>
      <c r="K15" t="s">
        <v>85</v>
      </c>
      <c r="L15" t="s">
        <v>85</v>
      </c>
      <c r="M15" t="str">
        <f>GeneraLambda!H15</f>
        <v>character</v>
      </c>
      <c r="O15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</v>
      </c>
      <c r="P15" s="2" t="str">
        <f>IF(K15="true",P14, P14&amp;", "&amp;campo(A15,K15))</f>
        <v>codice_azienda, codice, descrizione_breve, id_procedura_parent, ordinamento, tree_path, frequenza, strumento_informatico, id_centro_gest, codice_part, descrizione, tipo_procedura, stato_attuazione</v>
      </c>
      <c r="Q15" s="2" t="str">
        <f>IF(K15="true",Q14,Q14&amp;", "&amp;vincolo(A15,K15,M15))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</v>
      </c>
      <c r="R15" s="6" t="str">
        <f>IF(K15="true",R14,R14&amp;", "&amp;campo(A15,K15)&amp;"="&amp;vincolo(A15,K15,M15))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</v>
      </c>
      <c r="S15" s="6" t="str">
        <f>IF(L15="false","",(pk(A15,L15)))</f>
        <v/>
      </c>
      <c r="T15" s="6" t="str">
        <f>IF(L15="false","",(pk_cond(E15,M15,L15)))</f>
        <v/>
      </c>
      <c r="U15" s="6" t="str">
        <f t="shared" si="1"/>
        <v>codice_azienda=${body['codice_azienda'] AND id_procedura=${body['id_procedura']</v>
      </c>
      <c r="V15" s="2"/>
      <c r="W15" s="2"/>
      <c r="X15" s="2"/>
      <c r="Y15" t="str">
        <f>insertString(Appendice!C15,P15,Q15,$E$5)</f>
        <v>`INSERT INTO entrasp.stato_attuazione_x000D_(codice_azienda, codice, descrizione_breve, id_procedura_parent, ordinamento, tree_path, frequenza, strumento_informatico, id_centro_gest, codice_part, descrizione, tipo_procedura, stato_attuazione)_x000D_Values_x000D_(${body['codice_azienda'],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${body['stato_attuazione'])_x000D_RETURNING id_procedura;`</v>
      </c>
      <c r="Z15" t="str">
        <f>updateString(GeneraLambda!C15,Appendice!R29,Appendice!U15)</f>
        <v>`Update entrasp.procedure_aziendali_x000D_SET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15" t="str">
        <f>deletestring(GeneraLambda!C15,U15)</f>
        <v>`DELETE FROM entrasp.procedure_aziendali_x000D_WHERE codice_azienda=${body['codice_azienda'] AND id_procedura=${body['id_procedura']</v>
      </c>
    </row>
    <row r="16" spans="1:27" ht="17.25" customHeight="1" x14ac:dyDescent="0.25">
      <c r="A16" t="str">
        <f>GeneraLambda!D16</f>
        <v>id_tipo_processo</v>
      </c>
      <c r="B16" t="s">
        <v>86</v>
      </c>
      <c r="C16" t="s">
        <v>72</v>
      </c>
      <c r="D16" t="s">
        <v>62</v>
      </c>
      <c r="E16" t="str">
        <f>GeneraLambda!D16</f>
        <v>id_tipo_processo</v>
      </c>
      <c r="G16" t="s">
        <v>85</v>
      </c>
      <c r="H16" t="s">
        <v>87</v>
      </c>
      <c r="I16" t="s">
        <v>87</v>
      </c>
      <c r="J16" t="s">
        <v>85</v>
      </c>
      <c r="K16" t="s">
        <v>85</v>
      </c>
      <c r="L16" t="s">
        <v>85</v>
      </c>
      <c r="M16" t="str">
        <f>GeneraLambda!H16</f>
        <v>numeric</v>
      </c>
      <c r="O16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</v>
      </c>
      <c r="P16" s="2" t="str">
        <f>IF(K16="true",P15, P15&amp;", "&amp;campo(A16,K16))</f>
        <v>codice_azienda, codice, descrizione_breve, id_procedura_parent, ordinamento, tree_path, frequenza, strumento_informatico, id_centro_gest, codice_part, descrizione, tipo_procedura, stato_attuazione, id_tipo_processo</v>
      </c>
      <c r="Q16" s="2" t="str">
        <f>IF(K16="true",Q15,Q15&amp;", "&amp;vincolo(A16,K16,M16))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</v>
      </c>
      <c r="R16" s="6" t="str">
        <f>IF(K16="true",R15,R15&amp;", "&amp;campo(A16,K16)&amp;"="&amp;vincolo(A16,K16,M16))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</v>
      </c>
      <c r="S16" s="6" t="str">
        <f>IF(L16="false","",(pk(A16,L16)))</f>
        <v/>
      </c>
      <c r="T16" s="6" t="str">
        <f>IF(L16="false","",(pk_cond(E16,M16,L16)))</f>
        <v/>
      </c>
      <c r="U16" s="6" t="str">
        <f t="shared" si="1"/>
        <v>codice_azienda=${body['codice_azienda'] AND id_procedura=${body['id_procedura']</v>
      </c>
      <c r="V16" s="2"/>
      <c r="W16" s="2"/>
      <c r="X16" s="2"/>
      <c r="Y16" t="str">
        <f>insertString(Appendice!C16,P16,Q16,$E$5)</f>
        <v>`INSERT INTO entrasp.id_tipo_processo_x000D_(codice_azienda, codice, descrizione_breve, id_procedura_parent, ordinamento, tree_path, frequenza, strumento_informatico, id_centro_gest, codice_part, descrizione, tipo_procedura, stato_attuazione, id_tipo_processo)_x000D_Values_x000D_(${body['codice_azienda'],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${body[id_tipo_processo])_x000D_RETURNING id_procedura;`</v>
      </c>
      <c r="Z16" t="str">
        <f>updateString(GeneraLambda!C16,Appendice!R30,Appendice!U16)</f>
        <v>`Update entrasp.procedure_aziendali_x000D_SET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16" t="str">
        <f>deletestring(GeneraLambda!C16,U16)</f>
        <v>`DELETE FROM entrasp.procedure_aziendali_x000D_WHERE codice_azienda=${body['codice_azienda'] AND id_procedura=${body['id_procedura'];`</v>
      </c>
    </row>
    <row r="17" spans="1:27" ht="17.25" customHeight="1" x14ac:dyDescent="0.25">
      <c r="A17">
        <f>GeneraLambda!D17</f>
        <v>0</v>
      </c>
      <c r="B17" t="s">
        <v>84</v>
      </c>
      <c r="E17">
        <f>GeneraLambda!D17</f>
        <v>0</v>
      </c>
      <c r="G17" t="s">
        <v>85</v>
      </c>
      <c r="H17" t="s">
        <v>87</v>
      </c>
      <c r="I17" t="s">
        <v>87</v>
      </c>
      <c r="J17" t="s">
        <v>85</v>
      </c>
      <c r="K17" t="s">
        <v>85</v>
      </c>
      <c r="L17" t="s">
        <v>85</v>
      </c>
      <c r="M17">
        <f>GeneraLambda!H17</f>
        <v>0</v>
      </c>
      <c r="O17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</v>
      </c>
      <c r="P17" s="2" t="str">
        <f>IF(K17="true",P16, P16&amp;", "&amp;campo(A17,K17))</f>
        <v>codice_azienda, codice, descrizione_breve, id_procedura_parent, ordinamento, tree_path, frequenza, strumento_informatico, id_centro_gest, codice_part, descrizione, tipo_procedura, stato_attuazione, id_tipo_processo, 0</v>
      </c>
      <c r="Q17" s="2" t="str">
        <f>IF(K17="true",Q16,Q16&amp;", "&amp;vincolo(A17,K17,M17))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</v>
      </c>
      <c r="R17" s="6" t="str">
        <f>IF(K17="true",R16,R16&amp;", "&amp;campo(A17,K17)&amp;"="&amp;vincolo(A17,K17,M17))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</v>
      </c>
      <c r="S17" s="6" t="str">
        <f>IF(L17="false","",(pk(A17,L17)))</f>
        <v/>
      </c>
      <c r="T17" s="6" t="str">
        <f>IF(L17="false","",(pk_cond(E17,M17,L17)))</f>
        <v/>
      </c>
      <c r="U17" s="6" t="str">
        <f t="shared" si="1"/>
        <v>codice_azienda=${body['codice_azienda'] AND id_procedura=${body['id_procedura']</v>
      </c>
      <c r="V17" s="2"/>
      <c r="W17" s="2"/>
      <c r="X17" s="2"/>
      <c r="Y17" t="str">
        <f>insertString(Appendice!C17,P17,Q17,$E$5)</f>
        <v>`INSERT INTO entrasp._x000D_(codice_azienda, codice, descrizione_breve, id_procedura_parent, ordinamento, tree_path, frequenza, strumento_informatico, id_centro_gest, codice_part, descrizione, tipo_procedura, stato_attuazione, id_tipo_processo,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${body['0'])_x000D_RETURNING id_procedura;`</v>
      </c>
      <c r="Z17" t="str">
        <f>updateString(GeneraLambda!C17,Appendice!R31,Appendice!U17)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17" t="str">
        <f>deletestring(GeneraLambda!C17,U17)</f>
        <v>`DELETE FROM entrasp._x000D_WHERE codice_azienda=${body['codice_azienda'] AND id_procedura=${body['id_procedura']</v>
      </c>
    </row>
    <row r="18" spans="1:27" ht="17.25" customHeight="1" x14ac:dyDescent="0.25">
      <c r="A18">
        <f>GeneraLambda!D18</f>
        <v>0</v>
      </c>
      <c r="B18" t="s">
        <v>84</v>
      </c>
      <c r="E18">
        <f>GeneraLambda!D18</f>
        <v>0</v>
      </c>
      <c r="G18" t="s">
        <v>85</v>
      </c>
      <c r="H18" t="s">
        <v>87</v>
      </c>
      <c r="I18" t="s">
        <v>87</v>
      </c>
      <c r="J18" t="s">
        <v>85</v>
      </c>
      <c r="K18" t="s">
        <v>85</v>
      </c>
      <c r="L18" t="s">
        <v>85</v>
      </c>
      <c r="M18">
        <f>GeneraLambda!H18</f>
        <v>0</v>
      </c>
      <c r="O18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18" s="2" t="str">
        <f>IF(K18="true",P17, P17&amp;", "&amp;campo(A18,K18))</f>
        <v>codice_azienda, codice, descrizione_breve, id_procedura_parent, ordinamento, tree_path, frequenza, strumento_informatico, id_centro_gest, codice_part, descrizione, tipo_procedura, stato_attuazione, id_tipo_processo, 0, 0</v>
      </c>
      <c r="Q18" s="2" t="str">
        <f>IF(K18="true",Q17,Q17&amp;", "&amp;vincolo(A18,K18,M18))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</v>
      </c>
      <c r="R18" s="6" t="str">
        <f>IF(K18="true",R17,R17&amp;", "&amp;campo(A18,K18)&amp;"="&amp;vincolo(A18,K18,M18))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</v>
      </c>
      <c r="S18" s="6" t="str">
        <f>IF(L18="false","",(pk(A18,L18)))</f>
        <v/>
      </c>
      <c r="T18" s="6" t="str">
        <f>IF(L18="false","",(pk_cond(E18,M18,L18)))</f>
        <v/>
      </c>
      <c r="U18" s="6" t="str">
        <f t="shared" si="1"/>
        <v>codice_azienda=${body['codice_azienda'] AND id_procedura=${body['id_procedura']</v>
      </c>
      <c r="V18" s="2"/>
      <c r="W18" s="2"/>
      <c r="X18" s="2"/>
      <c r="Y18" t="str">
        <f>insertString(Appendice!C18,P18,Q18,$E$5)</f>
        <v>`INSERT INTO entrasp._x000D_(codice_azienda, codice, descrizione_breve, id_procedura_parent, ordinamento, tree_path, frequenza, strumento_informatico, id_centro_gest, codice_part, descrizione, tipo_procedura, stato_attuazione, id_tipo_processo,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${body['0'])_x000D_RETURNING id_procedura;`</v>
      </c>
      <c r="Z18" t="str">
        <f>updateString(GeneraLambda!C18,Appendice!R32,Appendice!U18)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18" t="str">
        <f>deletestring(GeneraLambda!C18,U18)</f>
        <v>`DELETE FROM entrasp._x000D_WHERE codice_azienda=${body['codice_azienda'] AND id_procedura=${body['id_procedura']</v>
      </c>
    </row>
    <row r="19" spans="1:27" ht="17.25" customHeight="1" x14ac:dyDescent="0.25">
      <c r="A19">
        <f>GeneraLambda!D19</f>
        <v>0</v>
      </c>
      <c r="B19" t="s">
        <v>84</v>
      </c>
      <c r="E19">
        <f>GeneraLambda!D19</f>
        <v>0</v>
      </c>
      <c r="G19" t="s">
        <v>85</v>
      </c>
      <c r="H19" t="s">
        <v>87</v>
      </c>
      <c r="I19" t="s">
        <v>87</v>
      </c>
      <c r="J19" t="s">
        <v>85</v>
      </c>
      <c r="K19" t="s">
        <v>85</v>
      </c>
      <c r="L19" t="s">
        <v>85</v>
      </c>
      <c r="M19">
        <f>GeneraLambda!H19</f>
        <v>0</v>
      </c>
      <c r="O19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19" s="2" t="str">
        <f>IF(K19="true",P18, P18&amp;", "&amp;campo(A19,K19))</f>
        <v>codice_azienda, codice, descrizione_breve, id_procedura_parent, ordinamento, tree_path, frequenza, strumento_informatico, id_centro_gest, codice_part, descrizione, tipo_procedura, stato_attuazione, id_tipo_processo, 0, 0, 0</v>
      </c>
      <c r="Q19" s="2" t="str">
        <f>IF(K19="true",Q18,Q18&amp;", "&amp;vincolo(A19,K19,M19))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</v>
      </c>
      <c r="R19" s="6" t="str">
        <f>IF(K19="true",R18,R18&amp;", "&amp;campo(A19,K19)&amp;"="&amp;vincolo(A19,K19,M19))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</v>
      </c>
      <c r="S19" s="6" t="str">
        <f>IF(L19="false","",(pk(A19,L19)))</f>
        <v/>
      </c>
      <c r="T19" s="6" t="str">
        <f>IF(L19="false","",(pk_cond(E19,M19,L19)))</f>
        <v/>
      </c>
      <c r="U19" s="6" t="str">
        <f t="shared" si="1"/>
        <v>codice_azienda=${body['codice_azienda'] AND id_procedura=${body['id_procedura']</v>
      </c>
      <c r="V19" s="2"/>
      <c r="W19" s="2"/>
      <c r="X19" s="2"/>
      <c r="Y19" t="str">
        <f>insertString(Appendice!C19,P19,Q19,$E$5)</f>
        <v>`INSERT INTO entrasp._x000D_(codice_azienda, codice, descrizione_breve, id_procedura_parent, ordinamento, tree_path, frequenza, strumento_informatico, id_centro_gest, codice_part, descrizione, tipo_procedura, stato_attuazione, id_tipo_processo,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${body['0'])_x000D_RETURNING id_procedura;`</v>
      </c>
      <c r="Z19" t="str">
        <f>updateString(GeneraLambda!C19,Appendice!R33,Appendice!U19)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19" t="str">
        <f>deletestring(GeneraLambda!C19,U19)</f>
        <v>`DELETE FROM entrasp._x000D_WHERE codice_azienda=${body['codice_azienda'] AND id_procedura=${body['id_procedura']</v>
      </c>
    </row>
    <row r="20" spans="1:27" ht="17.25" customHeight="1" x14ac:dyDescent="0.25">
      <c r="A20">
        <f>GeneraLambda!D20</f>
        <v>0</v>
      </c>
      <c r="B20" t="s">
        <v>84</v>
      </c>
      <c r="E20">
        <f>GeneraLambda!D20</f>
        <v>0</v>
      </c>
      <c r="G20" t="s">
        <v>85</v>
      </c>
      <c r="H20" t="s">
        <v>87</v>
      </c>
      <c r="I20" t="s">
        <v>87</v>
      </c>
      <c r="J20" t="s">
        <v>85</v>
      </c>
      <c r="K20" t="s">
        <v>85</v>
      </c>
      <c r="L20" t="s">
        <v>85</v>
      </c>
      <c r="M20">
        <f>GeneraLambda!H20</f>
        <v>0</v>
      </c>
      <c r="O20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20" s="2" t="str">
        <f>IF(K20="true",P19, P19&amp;", "&amp;campo(A20,K20))</f>
        <v>codice_azienda, codice, descrizione_breve, id_procedura_parent, ordinamento, tree_path, frequenza, strumento_informatico, id_centro_gest, codice_part, descrizione, tipo_procedura, stato_attuazione, id_tipo_processo, 0, 0, 0, 0</v>
      </c>
      <c r="Q20" s="2" t="str">
        <f>IF(K20="true",Q19,Q19&amp;", "&amp;vincolo(A20,K20,M20))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</v>
      </c>
      <c r="R20" s="6" t="str">
        <f>IF(K20="true",R19,R19&amp;", "&amp;campo(A20,K20)&amp;"="&amp;vincolo(A20,K20,M20))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</v>
      </c>
      <c r="S20" s="6" t="str">
        <f>IF(L20="false","",(pk(A20,L20)))</f>
        <v/>
      </c>
      <c r="T20" s="6" t="str">
        <f>IF(L20="false","",(pk_cond(E20,M20,L20)))</f>
        <v/>
      </c>
      <c r="U20" s="6" t="str">
        <f t="shared" si="1"/>
        <v>codice_azienda=${body['codice_azienda'] AND id_procedura=${body['id_procedura']</v>
      </c>
      <c r="V20" s="2"/>
      <c r="W20" s="2"/>
      <c r="X20" s="2"/>
      <c r="Y20" t="str">
        <f>insertString(Appendice!C20,P20,Q20,$E$5)</f>
        <v>`INSERT INTO entrasp._x000D_(codice_azienda, codice, descrizione_breve, id_procedura_parent, ordinamento, tree_path, frequenza, strumento_informatico, id_centro_gest, codice_part, descrizione, tipo_procedura, stato_attuazione, id_tipo_processo,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${body['0'])_x000D_RETURNING id_procedura;`</v>
      </c>
      <c r="Z20" t="str">
        <f>updateString(GeneraLambda!C20,Appendice!R34,Appendice!U20)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20" t="str">
        <f>deletestring(GeneraLambda!C20,U20)</f>
        <v>`DELETE FROM entrasp._x000D_WHERE codice_azienda=${body['codice_azienda'] AND id_procedura=${body['id_procedura']</v>
      </c>
    </row>
    <row r="21" spans="1:27" ht="17.25" customHeight="1" x14ac:dyDescent="0.25">
      <c r="A21">
        <f>GeneraLambda!D21</f>
        <v>0</v>
      </c>
      <c r="B21" t="s">
        <v>84</v>
      </c>
      <c r="E21">
        <f>GeneraLambda!D21</f>
        <v>0</v>
      </c>
      <c r="G21" t="s">
        <v>85</v>
      </c>
      <c r="H21" t="s">
        <v>87</v>
      </c>
      <c r="I21" t="s">
        <v>87</v>
      </c>
      <c r="J21" t="s">
        <v>85</v>
      </c>
      <c r="K21" t="s">
        <v>85</v>
      </c>
      <c r="L21" t="s">
        <v>85</v>
      </c>
      <c r="M21">
        <f>GeneraLambda!H21</f>
        <v>0</v>
      </c>
      <c r="O21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21" s="2" t="str">
        <f>IF(K21="true",P20, P20&amp;", "&amp;campo(A21,K21))</f>
        <v>codice_azienda, codice, descrizione_breve, id_procedura_parent, ordinamento, tree_path, frequenza, strumento_informatico, id_centro_gest, codice_part, descrizione, tipo_procedura, stato_attuazione, id_tipo_processo, 0, 0, 0, 0, 0</v>
      </c>
      <c r="Q21" s="2" t="str">
        <f>IF(K21="true",Q20,Q20&amp;", "&amp;vincolo(A21,K21,M21))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</v>
      </c>
      <c r="R21" s="6" t="str">
        <f>IF(K21="true",R20,R20&amp;", "&amp;campo(A21,K21)&amp;"="&amp;vincolo(A21,K21,M21))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</v>
      </c>
      <c r="S21" s="6" t="str">
        <f>IF(L21="false","",(pk(A21,L21)))</f>
        <v/>
      </c>
      <c r="T21" s="6" t="str">
        <f>IF(L21="false","",(pk_cond(E21,M21,L21)))</f>
        <v/>
      </c>
      <c r="U21" s="6" t="str">
        <f t="shared" si="1"/>
        <v>codice_azienda=${body['codice_azienda'] AND id_procedura=${body['id_procedura']</v>
      </c>
      <c r="V21" s="2"/>
      <c r="W21" s="2"/>
      <c r="X21" s="2"/>
      <c r="Y21" t="str">
        <f>insertString(Appendice!C21,P21,Q21,$E$5)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${body['0'])_x000D_RETURNING id_procedura;`</v>
      </c>
      <c r="Z21" t="str">
        <f>updateString(GeneraLambda!C21,Appendice!R35,Appendice!U21)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21" t="str">
        <f>deletestring(GeneraLambda!C21,U21)</f>
        <v>`DELETE FROM entrasp._x000D_WHERE codice_azienda=${body['codice_azienda'] AND id_procedura=${body['id_procedura']</v>
      </c>
    </row>
    <row r="22" spans="1:27" ht="17.25" customHeight="1" x14ac:dyDescent="0.25">
      <c r="A22">
        <f>GeneraLambda!D22</f>
        <v>0</v>
      </c>
      <c r="B22" t="s">
        <v>84</v>
      </c>
      <c r="E22">
        <f>GeneraLambda!D22</f>
        <v>0</v>
      </c>
      <c r="G22" t="s">
        <v>85</v>
      </c>
      <c r="H22" t="s">
        <v>87</v>
      </c>
      <c r="I22" t="s">
        <v>87</v>
      </c>
      <c r="J22" t="s">
        <v>85</v>
      </c>
      <c r="K22" t="s">
        <v>85</v>
      </c>
      <c r="L22" t="s">
        <v>85</v>
      </c>
      <c r="M22">
        <f>GeneraLambda!H22</f>
        <v>0</v>
      </c>
      <c r="O22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22" s="2" t="str">
        <f>IF(K22="true",P21, P21&amp;", "&amp;campo(A22,K22))</f>
        <v>codice_azienda, codice, descrizione_breve, id_procedura_parent, ordinamento, tree_path, frequenza, strumento_informatico, id_centro_gest, codice_part, descrizione, tipo_procedura, stato_attuazione, id_tipo_processo, 0, 0, 0, 0, 0, 0</v>
      </c>
      <c r="Q22" s="2" t="str">
        <f>IF(K22="true",Q21,Q21&amp;", "&amp;vincolo(A22,K22,M22))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</v>
      </c>
      <c r="R22" s="6" t="str">
        <f>IF(K22="true",R21,R21&amp;", "&amp;campo(A22,K22)&amp;"="&amp;vincolo(A22,K22,M22))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</v>
      </c>
      <c r="S22" s="6" t="str">
        <f>IF(L22="false","",(pk(A22,L22)))</f>
        <v/>
      </c>
      <c r="T22" s="6" t="str">
        <f>IF(L22="false","",(pk_cond(E22,M22,L22)))</f>
        <v/>
      </c>
      <c r="U22" s="6" t="str">
        <f t="shared" si="1"/>
        <v>codice_azienda=${body['codice_azienda'] AND id_procedura=${body['id_procedura']</v>
      </c>
      <c r="V22" s="2"/>
      <c r="W22" s="2"/>
      <c r="X22" s="2"/>
      <c r="Y22" t="str">
        <f>insertString(Appendice!C22,P22,Q22,$E$5)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${body['0'])_x000D_RETURNING id_procedura;`</v>
      </c>
      <c r="Z22" t="str">
        <f>updateString(GeneraLambda!C22,Appendice!R36,Appendice!U22)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22" t="str">
        <f>deletestring(GeneraLambda!C22,U22)</f>
        <v>`DELETE FROM entrasp._x000D_WHERE codice_azienda=${body['codice_azienda'] AND id_procedura=${body['id_procedura']</v>
      </c>
    </row>
    <row r="23" spans="1:27" ht="17.25" customHeight="1" x14ac:dyDescent="0.25">
      <c r="A23">
        <f>GeneraLambda!D23</f>
        <v>0</v>
      </c>
      <c r="B23" t="s">
        <v>84</v>
      </c>
      <c r="E23">
        <f>GeneraLambda!D23</f>
        <v>0</v>
      </c>
      <c r="G23" t="s">
        <v>85</v>
      </c>
      <c r="H23" t="s">
        <v>87</v>
      </c>
      <c r="I23" t="s">
        <v>87</v>
      </c>
      <c r="J23" t="s">
        <v>85</v>
      </c>
      <c r="K23" t="s">
        <v>85</v>
      </c>
      <c r="L23" t="s">
        <v>85</v>
      </c>
      <c r="M23">
        <f>GeneraLambda!H23</f>
        <v>0</v>
      </c>
      <c r="O23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23" s="2" t="str">
        <f>IF(K23="true",P22, P22&amp;", "&amp;campo(A23,K23))</f>
        <v>codice_azienda, codice, descrizione_breve, id_procedura_parent, ordinamento, tree_path, frequenza, strumento_informatico, id_centro_gest, codice_part, descrizione, tipo_procedura, stato_attuazione, id_tipo_processo, 0, 0, 0, 0, 0, 0, 0</v>
      </c>
      <c r="Q23" s="2" t="str">
        <f>IF(K23="true",Q22,Q22&amp;", "&amp;vincolo(A23,K23,M23))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</v>
      </c>
      <c r="R23" s="6" t="str">
        <f>IF(K23="true",R22,R22&amp;", "&amp;campo(A23,K23)&amp;"="&amp;vincolo(A23,K23,M23))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</v>
      </c>
      <c r="S23" s="6" t="str">
        <f>IF(L23="false","",(pk(A23,L23)))</f>
        <v/>
      </c>
      <c r="T23" s="6" t="str">
        <f>IF(L23="false","",(pk_cond(E23,M23,L23)))</f>
        <v/>
      </c>
      <c r="U23" s="6" t="str">
        <f t="shared" si="1"/>
        <v>codice_azienda=${body['codice_azienda'] AND id_procedura=${body['id_procedura']</v>
      </c>
      <c r="V23" s="2"/>
      <c r="W23" s="2"/>
      <c r="X23" s="2"/>
      <c r="Y23" t="str">
        <f>insertString(Appendice!C23,P23,Q23,$E$5)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${body['0'])_x000D_RETURNING id_procedura;`</v>
      </c>
      <c r="Z23" t="str">
        <f>updateString(GeneraLambda!C23,Appendice!R37,Appendice!U23)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23" t="str">
        <f>deletestring(GeneraLambda!C23,U23)</f>
        <v>`DELETE FROM entrasp._x000D_WHERE codice_azienda=${body['codice_azienda'] AND id_procedura=${body['id_procedura']</v>
      </c>
    </row>
    <row r="24" spans="1:27" ht="17.25" customHeight="1" x14ac:dyDescent="0.25">
      <c r="A24">
        <f>GeneraLambda!D24</f>
        <v>0</v>
      </c>
      <c r="B24" t="s">
        <v>84</v>
      </c>
      <c r="E24">
        <f>GeneraLambda!D24</f>
        <v>0</v>
      </c>
      <c r="G24" t="s">
        <v>85</v>
      </c>
      <c r="H24" t="s">
        <v>87</v>
      </c>
      <c r="I24" t="s">
        <v>87</v>
      </c>
      <c r="J24" t="s">
        <v>85</v>
      </c>
      <c r="K24" t="s">
        <v>85</v>
      </c>
      <c r="L24" t="s">
        <v>85</v>
      </c>
      <c r="M24">
        <f>GeneraLambda!H24</f>
        <v>0</v>
      </c>
      <c r="O24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24" s="2" t="str">
        <f>IF(K24="true",P23, P23&amp;", "&amp;campo(A24,K24))</f>
        <v>codice_azienda, codice, descrizione_breve, id_procedura_parent, ordinamento, tree_path, frequenza, strumento_informatico, id_centro_gest, codice_part, descrizione, tipo_procedura, stato_attuazione, id_tipo_processo, 0, 0, 0, 0, 0, 0, 0, 0</v>
      </c>
      <c r="Q24" s="2" t="str">
        <f>IF(K24="true",Q23,Q23&amp;", "&amp;vincolo(A24,K24,M24))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</v>
      </c>
      <c r="R24" s="6" t="str">
        <f>IF(K24="true",R23,R23&amp;", "&amp;campo(A24,K24)&amp;"="&amp;vincolo(A24,K24,M24))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</v>
      </c>
      <c r="S24" s="6" t="str">
        <f>IF(L24="false","",(pk(A24,L24)))</f>
        <v/>
      </c>
      <c r="T24" s="6" t="str">
        <f>IF(L24="false","",(pk_cond(E24,M24,L24)))</f>
        <v/>
      </c>
      <c r="U24" s="6" t="str">
        <f t="shared" si="1"/>
        <v>codice_azienda=${body['codice_azienda'] AND id_procedura=${body['id_procedura']</v>
      </c>
      <c r="V24" s="2"/>
      <c r="W24" s="2"/>
      <c r="X24" s="2"/>
      <c r="Y24" t="str">
        <f>insertString(Appendice!C24,P24,Q24,$E$5)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${body['0'])_x000D_RETURNING id_procedura;`</v>
      </c>
      <c r="Z24" t="str">
        <f>updateString(GeneraLambda!C24,Appendice!R38,Appendice!U24)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24" t="str">
        <f>deletestring(GeneraLambda!C24,U24)</f>
        <v>`DELETE FROM entrasp._x000D_WHERE codice_azienda=${body['codice_azienda'] AND id_procedura=${body['id_procedura']</v>
      </c>
    </row>
    <row r="25" spans="1:27" ht="17.25" customHeight="1" x14ac:dyDescent="0.25">
      <c r="A25">
        <f>GeneraLambda!D25</f>
        <v>0</v>
      </c>
      <c r="B25" t="s">
        <v>84</v>
      </c>
      <c r="E25">
        <f>GeneraLambda!D25</f>
        <v>0</v>
      </c>
      <c r="G25" t="s">
        <v>85</v>
      </c>
      <c r="H25" t="s">
        <v>87</v>
      </c>
      <c r="I25" t="s">
        <v>87</v>
      </c>
      <c r="J25" t="s">
        <v>85</v>
      </c>
      <c r="K25" t="s">
        <v>85</v>
      </c>
      <c r="L25" t="s">
        <v>85</v>
      </c>
      <c r="M25">
        <f>GeneraLambda!H25</f>
        <v>0</v>
      </c>
      <c r="O25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25" s="2" t="str">
        <f>IF(K25="true",P24, P24&amp;", "&amp;campo(A25,K25))</f>
        <v>codice_azienda, codice, descrizione_breve, id_procedura_parent, ordinamento, tree_path, frequenza, strumento_informatico, id_centro_gest, codice_part, descrizione, tipo_procedura, stato_attuazione, id_tipo_processo, 0, 0, 0, 0, 0, 0, 0, 0, 0</v>
      </c>
      <c r="Q25" s="2" t="str">
        <f>IF(K25="true",Q24,Q24&amp;", "&amp;vincolo(A25,K25,M25))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</v>
      </c>
      <c r="R25" s="6" t="str">
        <f>IF(K25="true",R24,R24&amp;", "&amp;campo(A25,K25)&amp;"="&amp;vincolo(A25,K25,M25))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</v>
      </c>
      <c r="S25" s="6" t="str">
        <f>IF(L25="false","",(pk(A25,L25)))</f>
        <v/>
      </c>
      <c r="T25" s="6" t="str">
        <f>IF(L25="false","",(pk_cond(E25,M25,L25)))</f>
        <v/>
      </c>
      <c r="U25" s="6" t="str">
        <f t="shared" si="1"/>
        <v>codice_azienda=${body['codice_azienda'] AND id_procedura=${body['id_procedura']</v>
      </c>
      <c r="V25" s="2"/>
      <c r="W25" s="2"/>
      <c r="X25" s="2"/>
      <c r="Y25" t="str">
        <f>insertString(Appendice!C25,P25,Q25,$E$5)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${body['0'])_x000D_RETURNING id_procedura;`</v>
      </c>
      <c r="Z25" t="str">
        <f>updateString(GeneraLambda!C25,Appendice!R39,Appendice!U25)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25" t="str">
        <f>deletestring(GeneraLambda!C25,U25)</f>
        <v>`DELETE FROM entrasp._x000D_WHERE codice_azienda=${body['codice_azienda'] AND id_procedura=${body['id_procedura']</v>
      </c>
    </row>
    <row r="26" spans="1:27" ht="17.25" customHeight="1" x14ac:dyDescent="0.25">
      <c r="A26">
        <f>GeneraLambda!D26</f>
        <v>0</v>
      </c>
      <c r="B26" t="s">
        <v>84</v>
      </c>
      <c r="E26">
        <f>GeneraLambda!D26</f>
        <v>0</v>
      </c>
      <c r="G26" t="s">
        <v>85</v>
      </c>
      <c r="H26" t="s">
        <v>87</v>
      </c>
      <c r="I26" t="s">
        <v>87</v>
      </c>
      <c r="J26" t="s">
        <v>85</v>
      </c>
      <c r="K26" t="s">
        <v>85</v>
      </c>
      <c r="L26" t="s">
        <v>85</v>
      </c>
      <c r="M26">
        <f>GeneraLambda!H26</f>
        <v>0</v>
      </c>
      <c r="O26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26" s="2" t="str">
        <f>IF(K26="true",P25, P25&amp;", "&amp;campo(A26,K26))</f>
        <v>codice_azienda, codice, descrizione_breve, id_procedura_parent, ordinamento, tree_path, frequenza, strumento_informatico, id_centro_gest, codice_part, descrizione, tipo_procedura, stato_attuazione, id_tipo_processo, 0, 0, 0, 0, 0, 0, 0, 0, 0, 0</v>
      </c>
      <c r="Q26" s="2" t="str">
        <f>IF(K26="true",Q25,Q25&amp;", "&amp;vincolo(A26,K26,M26))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</v>
      </c>
      <c r="R26" s="6" t="str">
        <f>IF(K26="true",R25,R25&amp;", "&amp;campo(A26,K26)&amp;"="&amp;vincolo(A26,K26,M26))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</v>
      </c>
      <c r="S26" s="6" t="str">
        <f>IF(L26="false","",(pk(A26,L26)))</f>
        <v/>
      </c>
      <c r="T26" s="6" t="str">
        <f>IF(L26="false","",(pk_cond(E26,M26,L26)))</f>
        <v/>
      </c>
      <c r="U26" s="6" t="str">
        <f t="shared" si="1"/>
        <v>codice_azienda=${body['codice_azienda'] AND id_procedura=${body['id_procedura']</v>
      </c>
      <c r="V26" s="2"/>
      <c r="W26" s="2"/>
      <c r="X26" s="2"/>
      <c r="Y26" t="str">
        <f>insertString(Appendice!C26,P26,Q26,$E$5)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${body['0'])_x000D_RETURNING id_procedura;`</v>
      </c>
      <c r="Z26" t="str">
        <f>updateString(GeneraLambda!C26,Appendice!R40,Appendice!U26)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26" t="str">
        <f>deletestring(GeneraLambda!C26,U26)</f>
        <v>`DELETE FROM entrasp._x000D_WHERE codice_azienda=${body['codice_azienda'] AND id_procedura=${body['id_procedura']</v>
      </c>
    </row>
    <row r="27" spans="1:27" ht="17.25" customHeight="1" x14ac:dyDescent="0.25">
      <c r="A27">
        <f>GeneraLambda!D27</f>
        <v>0</v>
      </c>
      <c r="B27" t="s">
        <v>84</v>
      </c>
      <c r="E27">
        <f>GeneraLambda!D27</f>
        <v>0</v>
      </c>
      <c r="G27" t="s">
        <v>85</v>
      </c>
      <c r="H27" t="s">
        <v>87</v>
      </c>
      <c r="I27" t="s">
        <v>87</v>
      </c>
      <c r="J27" t="s">
        <v>85</v>
      </c>
      <c r="K27" t="s">
        <v>85</v>
      </c>
      <c r="L27" t="s">
        <v>85</v>
      </c>
      <c r="M27">
        <f>GeneraLambda!H27</f>
        <v>0</v>
      </c>
      <c r="O27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27" s="2" t="str">
        <f>IF(K27="true",P26, P26&amp;", "&amp;campo(A27,K27))</f>
        <v>codice_azienda, codice, descrizione_breve, id_procedura_parent, ordinamento, tree_path, frequenza, strumento_informatico, id_centro_gest, codice_part, descrizione, tipo_procedura, stato_attuazione, id_tipo_processo, 0, 0, 0, 0, 0, 0, 0, 0, 0, 0, 0</v>
      </c>
      <c r="Q27" s="2" t="str">
        <f>IF(K27="true",Q26,Q26&amp;", "&amp;vincolo(A27,K27,M27))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</v>
      </c>
      <c r="R27" s="6" t="str">
        <f>IF(K27="true",R26,R26&amp;", "&amp;campo(A27,K27)&amp;"="&amp;vincolo(A27,K27,M27))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</v>
      </c>
      <c r="S27" s="6" t="str">
        <f>IF(L27="false","",(pk(A27,L27)))</f>
        <v/>
      </c>
      <c r="T27" s="6" t="str">
        <f>IF(L27="false","",(pk_cond(E27,M27,L27)))</f>
        <v/>
      </c>
      <c r="U27" s="6" t="str">
        <f t="shared" si="1"/>
        <v>codice_azienda=${body['codice_azienda'] AND id_procedura=${body['id_procedura']</v>
      </c>
      <c r="V27" s="2"/>
      <c r="W27" s="2"/>
      <c r="X27" s="2"/>
      <c r="Y27" t="str">
        <f>insertString(Appendice!C27,P27,Q27,$E$5)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${body['0'])_x000D_RETURNING id_procedura;`</v>
      </c>
      <c r="Z27" t="str">
        <f>updateString(GeneraLambda!C27,Appendice!R41,Appendice!U27)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27" t="str">
        <f>deletestring(GeneraLambda!C27,U27)</f>
        <v>`DELETE FROM entrasp._x000D_WHERE codice_azienda=${body['codice_azienda'] AND id_procedura=${body['id_procedura']</v>
      </c>
    </row>
    <row r="28" spans="1:27" ht="17.25" customHeight="1" x14ac:dyDescent="0.25">
      <c r="A28">
        <f>GeneraLambda!D28</f>
        <v>0</v>
      </c>
      <c r="B28" t="s">
        <v>84</v>
      </c>
      <c r="E28">
        <f>GeneraLambda!D28</f>
        <v>0</v>
      </c>
      <c r="G28" t="s">
        <v>85</v>
      </c>
      <c r="H28" t="s">
        <v>87</v>
      </c>
      <c r="I28" t="s">
        <v>87</v>
      </c>
      <c r="J28" t="s">
        <v>85</v>
      </c>
      <c r="K28" t="s">
        <v>85</v>
      </c>
      <c r="L28" t="s">
        <v>85</v>
      </c>
      <c r="M28">
        <f>GeneraLambda!H28</f>
        <v>0</v>
      </c>
      <c r="O28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28" s="2" t="str">
        <f>IF(K28="true",P27, P27&amp;", "&amp;campo(A28,K28))</f>
        <v>codice_azienda, codice, descrizione_breve, id_procedura_parent, ordinamento, tree_path, frequenza, strumento_informatico, id_centro_gest, codice_part, descrizione, tipo_procedura, stato_attuazione, id_tipo_processo, 0, 0, 0, 0, 0, 0, 0, 0, 0, 0, 0, 0</v>
      </c>
      <c r="Q28" s="2" t="str">
        <f>IF(K28="true",Q27,Q27&amp;", "&amp;vincolo(A28,K28,M28))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</v>
      </c>
      <c r="R28" s="6" t="str">
        <f>IF(K28="true",R27,R27&amp;", "&amp;campo(A28,K28)&amp;"="&amp;vincolo(A28,K28,M28))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</v>
      </c>
      <c r="S28" s="6" t="str">
        <f>IF(L28="false","",(pk(A28,L28)))</f>
        <v/>
      </c>
      <c r="T28" s="6" t="str">
        <f>IF(L28="false","",(pk_cond(E28,M28,L28)))</f>
        <v/>
      </c>
      <c r="U28" s="6" t="str">
        <f t="shared" si="1"/>
        <v>codice_azienda=${body['codice_azienda'] AND id_procedura=${body['id_procedura']</v>
      </c>
      <c r="V28" s="2"/>
      <c r="W28" s="2"/>
      <c r="X28" s="2"/>
      <c r="Y28" t="str">
        <f>insertString(Appendice!C28,P28,Q28,$E$5)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${body['0'])_x000D_RETURNING id_procedura;`</v>
      </c>
      <c r="Z28" t="str">
        <f>updateString(GeneraLambda!C28,Appendice!R42,Appendice!U28)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28" t="str">
        <f>deletestring(GeneraLambda!C28,U28)</f>
        <v>`DELETE FROM entrasp._x000D_WHERE codice_azienda=${body['codice_azienda'] AND id_procedura=${body['id_procedura']</v>
      </c>
    </row>
    <row r="29" spans="1:27" ht="17.25" customHeight="1" x14ac:dyDescent="0.25">
      <c r="A29">
        <f>GeneraLambda!D29</f>
        <v>0</v>
      </c>
      <c r="B29" t="s">
        <v>84</v>
      </c>
      <c r="E29">
        <f>GeneraLambda!D29</f>
        <v>0</v>
      </c>
      <c r="G29" t="s">
        <v>85</v>
      </c>
      <c r="H29" t="s">
        <v>87</v>
      </c>
      <c r="I29" t="s">
        <v>87</v>
      </c>
      <c r="J29" t="s">
        <v>85</v>
      </c>
      <c r="K29" t="s">
        <v>85</v>
      </c>
      <c r="L29" t="s">
        <v>85</v>
      </c>
      <c r="M29">
        <f>GeneraLambda!H29</f>
        <v>0</v>
      </c>
      <c r="O29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29" s="2" t="str">
        <f>IF(K29="true",P28, P28&amp;", "&amp;campo(A29,K29))</f>
        <v>codice_azienda, codice, descrizione_breve, id_procedura_parent, ordinamento, tree_path, frequenza, strumento_informatico, id_centro_gest, codice_part, descrizione, tipo_procedura, stato_attuazione, id_tipo_processo, 0, 0, 0, 0, 0, 0, 0, 0, 0, 0, 0, 0, 0</v>
      </c>
      <c r="Q29" s="2" t="str">
        <f>IF(K29="true",Q28,Q28&amp;", "&amp;vincolo(A29,K29,M29))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</v>
      </c>
      <c r="R29" s="6" t="str">
        <f>IF(K29="true",R28,R28&amp;", "&amp;campo(A29,K29)&amp;"="&amp;vincolo(A29,K29,M29))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</v>
      </c>
      <c r="S29" s="6" t="str">
        <f>IF(L29="false","",(pk(A29,L29)))</f>
        <v/>
      </c>
      <c r="T29" s="6" t="str">
        <f>IF(L29="false","",(pk_cond(E29,M29,L29)))</f>
        <v/>
      </c>
      <c r="U29" s="6" t="str">
        <f t="shared" si="1"/>
        <v>codice_azienda=${body['codice_azienda'] AND id_procedura=${body['id_procedura']</v>
      </c>
      <c r="V29" s="2"/>
      <c r="W29" s="2"/>
      <c r="X29" s="2"/>
      <c r="Y29" t="str">
        <f>insertString(Appendice!C29,P29,Q29,$E$5)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${body['0'])_x000D_RETURNING id_procedura;`</v>
      </c>
      <c r="Z29" t="str">
        <f>updateString(GeneraLambda!C29,Appendice!R43,Appendice!U29)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29" t="str">
        <f>deletestring(GeneraLambda!C29,U29)</f>
        <v>`DELETE FROM entrasp._x000D_WHERE codice_azienda=${body['codice_azienda'] AND id_procedura=${body['id_procedura']</v>
      </c>
    </row>
    <row r="30" spans="1:27" ht="17.25" customHeight="1" x14ac:dyDescent="0.25">
      <c r="A30">
        <f>GeneraLambda!D30</f>
        <v>0</v>
      </c>
      <c r="B30" t="s">
        <v>84</v>
      </c>
      <c r="E30">
        <f>GeneraLambda!D30</f>
        <v>0</v>
      </c>
      <c r="G30" t="s">
        <v>85</v>
      </c>
      <c r="H30" t="s">
        <v>87</v>
      </c>
      <c r="I30" t="s">
        <v>87</v>
      </c>
      <c r="J30" t="s">
        <v>85</v>
      </c>
      <c r="K30" t="s">
        <v>85</v>
      </c>
      <c r="L30" t="s">
        <v>85</v>
      </c>
      <c r="M30">
        <f>GeneraLambda!H30</f>
        <v>0</v>
      </c>
      <c r="O30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30" s="2" t="str">
        <f>IF(K30="true",P29, P29&amp;", "&amp;campo(A30,K30))</f>
        <v>codice_azienda, codice, descrizione_breve, id_procedura_parent, ordinamento, tree_path, frequenza, strumento_informatico, id_centro_gest, codice_part, descrizione, tipo_procedura, stato_attuazione, id_tipo_processo, 0, 0, 0, 0, 0, 0, 0, 0, 0, 0, 0, 0, 0, 0</v>
      </c>
      <c r="Q30" s="2" t="str">
        <f>IF(K30="true",Q29,Q29&amp;", "&amp;vincolo(A30,K30,M30))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</v>
      </c>
      <c r="R30" s="6" t="str">
        <f>IF(K30="true",R29,R29&amp;", "&amp;campo(A30,K30)&amp;"="&amp;vincolo(A30,K30,M30))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</v>
      </c>
      <c r="S30" s="6" t="str">
        <f>IF(L30="false","",(pk(A30,L30)))</f>
        <v/>
      </c>
      <c r="T30" s="6" t="str">
        <f>IF(L30="false","",(pk_cond(E30,M30,L30)))</f>
        <v/>
      </c>
      <c r="U30" s="6" t="str">
        <f t="shared" si="1"/>
        <v>codice_azienda=${body['codice_azienda'] AND id_procedura=${body['id_procedura']</v>
      </c>
      <c r="V30" s="2"/>
      <c r="W30" s="2"/>
      <c r="X30" s="2"/>
      <c r="Y30" t="str">
        <f>insertString(Appendice!C30,P30,Q30,$E$5)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${body['0'])_x000D_RETURNING id_procedura;`</v>
      </c>
      <c r="Z30" t="str">
        <f>updateString(GeneraLambda!C30,Appendice!R44,Appendice!U30)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30" t="str">
        <f>deletestring(GeneraLambda!C30,U30)</f>
        <v>`DELETE FROM entrasp._x000D_WHERE codice_azienda=${body['codice_azienda'] AND id_procedura=${body['id_procedura']</v>
      </c>
    </row>
    <row r="31" spans="1:27" ht="17.25" customHeight="1" x14ac:dyDescent="0.25">
      <c r="A31">
        <f>GeneraLambda!D31</f>
        <v>0</v>
      </c>
      <c r="B31" t="s">
        <v>84</v>
      </c>
      <c r="E31">
        <f>GeneraLambda!D31</f>
        <v>0</v>
      </c>
      <c r="G31" t="s">
        <v>85</v>
      </c>
      <c r="H31" t="s">
        <v>87</v>
      </c>
      <c r="I31" t="s">
        <v>87</v>
      </c>
      <c r="J31" t="s">
        <v>85</v>
      </c>
      <c r="K31" t="s">
        <v>85</v>
      </c>
      <c r="L31" t="s">
        <v>85</v>
      </c>
      <c r="M31">
        <f>GeneraLambda!H31</f>
        <v>0</v>
      </c>
      <c r="O31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31" s="2" t="str">
        <f>IF(K31="true",P30, P30&amp;", "&amp;campo(A31,K31))</f>
        <v>codice_azienda, codice, descrizione_breve, id_procedura_parent, ordinamento, tree_path, frequenza, strumento_informatico, id_centro_gest, codice_part, descrizione, tipo_procedura, stato_attuazione, id_tipo_processo, 0, 0, 0, 0, 0, 0, 0, 0, 0, 0, 0, 0, 0, 0, 0</v>
      </c>
      <c r="Q31" s="2" t="str">
        <f>IF(K31="true",Q30,Q30&amp;", "&amp;vincolo(A31,K31,M31))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</v>
      </c>
      <c r="R31" s="6" t="str">
        <f>IF(K31="true",R30,R30&amp;", "&amp;campo(A31,K31)&amp;"="&amp;vincolo(A31,K31,M31))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</v>
      </c>
      <c r="S31" s="6" t="str">
        <f>IF(L31="false","",(pk(A31,L31)))</f>
        <v/>
      </c>
      <c r="T31" s="6" t="str">
        <f>IF(L31="false","",(pk_cond(E31,M31,L31)))</f>
        <v/>
      </c>
      <c r="U31" s="6" t="str">
        <f t="shared" si="1"/>
        <v>codice_azienda=${body['codice_azienda'] AND id_procedura=${body['id_procedura']</v>
      </c>
      <c r="V31" s="2"/>
      <c r="W31" s="2"/>
      <c r="X31" s="2"/>
      <c r="Y31" t="str">
        <f>insertString(Appendice!C31,P31,Q31,$E$5)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${body['0'])_x000D_RETURNING id_procedura;`</v>
      </c>
      <c r="Z31" t="str">
        <f>updateString(GeneraLambda!C31,Appendice!R45,Appendice!U31)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31" t="str">
        <f>deletestring(GeneraLambda!C31,U31)</f>
        <v>`DELETE FROM entrasp._x000D_WHERE codice_azienda=${body['codice_azienda'] AND id_procedura=${body['id_procedura']</v>
      </c>
    </row>
    <row r="32" spans="1:27" ht="17.25" customHeight="1" x14ac:dyDescent="0.25">
      <c r="A32">
        <f>GeneraLambda!D32</f>
        <v>0</v>
      </c>
      <c r="B32" t="s">
        <v>84</v>
      </c>
      <c r="E32">
        <f>GeneraLambda!D32</f>
        <v>0</v>
      </c>
      <c r="G32" t="s">
        <v>85</v>
      </c>
      <c r="H32" t="s">
        <v>87</v>
      </c>
      <c r="I32" t="s">
        <v>87</v>
      </c>
      <c r="J32" t="s">
        <v>85</v>
      </c>
      <c r="K32" t="s">
        <v>85</v>
      </c>
      <c r="L32" t="s">
        <v>85</v>
      </c>
      <c r="M32">
        <f>GeneraLambda!H32</f>
        <v>0</v>
      </c>
      <c r="O32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32" s="2" t="str">
        <f>IF(K32="true",P31, P31&amp;", "&amp;campo(A32,K32))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</v>
      </c>
      <c r="Q32" s="2" t="str">
        <f>IF(K32="true",Q31,Q31&amp;", "&amp;vincolo(A32,K32,M32))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</v>
      </c>
      <c r="R32" s="6" t="str">
        <f>IF(K32="true",R31,R31&amp;", "&amp;campo(A32,K32)&amp;"="&amp;vincolo(A32,K32,M32))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</v>
      </c>
      <c r="S32" s="6" t="str">
        <f>IF(L32="false","",(pk(A32,L32)))</f>
        <v/>
      </c>
      <c r="T32" s="6" t="str">
        <f>IF(L32="false","",(pk_cond(E32,M32,L32)))</f>
        <v/>
      </c>
      <c r="U32" s="6" t="str">
        <f t="shared" si="1"/>
        <v>codice_azienda=${body['codice_azienda'] AND id_procedura=${body['id_procedura']</v>
      </c>
      <c r="V32" s="2"/>
      <c r="W32" s="2"/>
      <c r="X32" s="2"/>
      <c r="Y32" t="str">
        <f>insertString(Appendice!C32,P32,Q32,$E$5)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${body['0'])_x000D_RETURNING id_procedura;`</v>
      </c>
      <c r="Z32" t="str">
        <f>updateString(GeneraLambda!C32,Appendice!R46,Appendice!U32)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32" t="str">
        <f>deletestring(GeneraLambda!C32,U32)</f>
        <v>`DELETE FROM entrasp._x000D_WHERE codice_azienda=${body['codice_azienda'] AND id_procedura=${body['id_procedura']</v>
      </c>
    </row>
    <row r="33" spans="1:27" ht="17.25" customHeight="1" x14ac:dyDescent="0.25">
      <c r="A33">
        <f>GeneraLambda!D33</f>
        <v>0</v>
      </c>
      <c r="B33" t="s">
        <v>84</v>
      </c>
      <c r="E33">
        <f>GeneraLambda!D33</f>
        <v>0</v>
      </c>
      <c r="G33" t="s">
        <v>85</v>
      </c>
      <c r="H33" t="s">
        <v>87</v>
      </c>
      <c r="I33" t="s">
        <v>87</v>
      </c>
      <c r="J33" t="s">
        <v>85</v>
      </c>
      <c r="K33" t="s">
        <v>85</v>
      </c>
      <c r="L33" t="s">
        <v>85</v>
      </c>
      <c r="M33">
        <f>GeneraLambda!H33</f>
        <v>0</v>
      </c>
      <c r="O33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33" s="2" t="str">
        <f>IF(K33="true",P32, P32&amp;", "&amp;campo(A33,K33))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</v>
      </c>
      <c r="Q33" s="2" t="str">
        <f>IF(K33="true",Q32,Q32&amp;", "&amp;vincolo(A33,K33,M33))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</v>
      </c>
      <c r="R33" s="6" t="str">
        <f>IF(K33="true",R32,R32&amp;", "&amp;campo(A33,K33)&amp;"="&amp;vincolo(A33,K33,M33))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33" s="6" t="str">
        <f>IF(L33="false","",(pk(A33,L33)))</f>
        <v/>
      </c>
      <c r="T33" s="6" t="str">
        <f>IF(L33="false","",(pk_cond(E33,M33,L33)))</f>
        <v/>
      </c>
      <c r="U33" s="6" t="str">
        <f t="shared" si="1"/>
        <v>codice_azienda=${body['codice_azienda'] AND id_procedura=${body['id_procedura']</v>
      </c>
      <c r="V33" s="2"/>
      <c r="W33" s="2"/>
      <c r="X33" s="2"/>
      <c r="Y33" t="str">
        <f>insertString(Appendice!C33,P33,Q33,$E$5)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33" t="str">
        <f>updateString(GeneraLambda!C33,Appendice!R47,Appendice!U33)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33" t="str">
        <f>deletestring(GeneraLambda!C33,U33)</f>
        <v>`DELETE FROM entrasp._x000D_WHERE codice_azienda=${body['codice_azienda'] AND id_procedura=${body['id_procedura']</v>
      </c>
    </row>
    <row r="34" spans="1:27" ht="17.25" customHeight="1" x14ac:dyDescent="0.25">
      <c r="A34">
        <f>GeneraLambda!D34</f>
        <v>0</v>
      </c>
      <c r="B34" t="s">
        <v>84</v>
      </c>
      <c r="E34">
        <f>GeneraLambda!D34</f>
        <v>0</v>
      </c>
      <c r="G34" t="s">
        <v>85</v>
      </c>
      <c r="H34" t="s">
        <v>87</v>
      </c>
      <c r="I34" t="s">
        <v>87</v>
      </c>
      <c r="J34" t="s">
        <v>85</v>
      </c>
      <c r="K34" t="s">
        <v>85</v>
      </c>
      <c r="L34" t="s">
        <v>85</v>
      </c>
      <c r="M34">
        <f>GeneraLambda!H34</f>
        <v>0</v>
      </c>
      <c r="O34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34" s="2" t="str">
        <f>IF(K34="true",P33, P33&amp;", "&amp;campo(A34,K34))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</v>
      </c>
      <c r="Q34" s="2" t="str">
        <f>IF(K34="true",Q33,Q33&amp;", "&amp;vincolo(A34,K34,M34))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</v>
      </c>
      <c r="R34" s="6" t="str">
        <f>IF(K34="true",R33,R33&amp;", "&amp;campo(A34,K34)&amp;"="&amp;vincolo(A34,K34,M34))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34" s="6" t="str">
        <f>IF(L34="false","",(pk(A34,L34)))</f>
        <v/>
      </c>
      <c r="T34" s="6" t="str">
        <f>IF(L34="false","",(pk_cond(E34,M34,L34)))</f>
        <v/>
      </c>
      <c r="U34" s="6" t="str">
        <f t="shared" si="1"/>
        <v>codice_azienda=${body['codice_azienda'] AND id_procedura=${body['id_procedura']</v>
      </c>
      <c r="V34" s="2"/>
      <c r="W34" s="2"/>
      <c r="X34" s="2"/>
      <c r="Y34" t="str">
        <f>insertString(Appendice!C34,P34,Q34,$E$5)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34" t="str">
        <f>updateString(GeneraLambda!C34,Appendice!R48,Appendice!U34)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34" t="str">
        <f>deletestring(GeneraLambda!C34,U34)</f>
        <v>`DELETE FROM entrasp._x000D_WHERE codice_azienda=${body['codice_azienda'] AND id_procedura=${body['id_procedura']</v>
      </c>
    </row>
    <row r="35" spans="1:27" ht="17.25" customHeight="1" x14ac:dyDescent="0.25">
      <c r="A35">
        <f>GeneraLambda!D35</f>
        <v>0</v>
      </c>
      <c r="B35" t="s">
        <v>84</v>
      </c>
      <c r="E35">
        <f>GeneraLambda!D35</f>
        <v>0</v>
      </c>
      <c r="G35" t="s">
        <v>85</v>
      </c>
      <c r="H35" t="s">
        <v>87</v>
      </c>
      <c r="I35" t="s">
        <v>87</v>
      </c>
      <c r="J35" t="s">
        <v>85</v>
      </c>
      <c r="K35" t="s">
        <v>85</v>
      </c>
      <c r="L35" t="s">
        <v>85</v>
      </c>
      <c r="M35">
        <f>GeneraLambda!H35</f>
        <v>0</v>
      </c>
      <c r="O35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35" s="2" t="str">
        <f>IF(K35="true",P34, P34&amp;", "&amp;campo(A35,K35))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</v>
      </c>
      <c r="Q35" s="2" t="str">
        <f>IF(K35="true",Q34,Q34&amp;", "&amp;vincolo(A35,K35,M35))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</v>
      </c>
      <c r="R35" s="6" t="str">
        <f>IF(K35="true",R34,R34&amp;", "&amp;campo(A35,K35)&amp;"="&amp;vincolo(A35,K35,M35))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35" s="6" t="str">
        <f>IF(L35="false","",(pk(A35,L35)))</f>
        <v/>
      </c>
      <c r="T35" s="6" t="str">
        <f>IF(L35="false","",(pk_cond(E35,M35,L35)))</f>
        <v/>
      </c>
      <c r="U35" s="6" t="str">
        <f t="shared" si="1"/>
        <v>codice_azienda=${body['codice_azienda'] AND id_procedura=${body['id_procedura']</v>
      </c>
      <c r="V35" s="2"/>
      <c r="W35" s="2"/>
      <c r="X35" s="2"/>
      <c r="Y35" t="str">
        <f>insertString(Appendice!C35,P35,Q35,$E$5)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35" t="str">
        <f>updateString(GeneraLambda!C35,Appendice!R49,Appendice!U35)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35" t="str">
        <f>deletestring(GeneraLambda!C35,U35)</f>
        <v>`DELETE FROM entrasp._x000D_WHERE codice_azienda=${body['codice_azienda'] AND id_procedura=${body['id_procedura']</v>
      </c>
    </row>
    <row r="36" spans="1:27" ht="17.25" customHeight="1" x14ac:dyDescent="0.25">
      <c r="A36">
        <f>GeneraLambda!D36</f>
        <v>0</v>
      </c>
      <c r="B36" t="s">
        <v>84</v>
      </c>
      <c r="E36">
        <f>GeneraLambda!D36</f>
        <v>0</v>
      </c>
      <c r="G36" t="s">
        <v>85</v>
      </c>
      <c r="H36" t="s">
        <v>87</v>
      </c>
      <c r="I36" t="s">
        <v>87</v>
      </c>
      <c r="J36" t="s">
        <v>85</v>
      </c>
      <c r="K36" t="s">
        <v>85</v>
      </c>
      <c r="L36" t="s">
        <v>85</v>
      </c>
      <c r="M36">
        <f>GeneraLambda!H36</f>
        <v>0</v>
      </c>
      <c r="O36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36" s="2" t="str">
        <f>IF(K36="true",P35, P35&amp;", "&amp;campo(A36,K36))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</v>
      </c>
      <c r="Q36" s="2" t="str">
        <f>IF(K36="true",Q35,Q35&amp;", "&amp;vincolo(A36,K36,M36))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36" s="6" t="str">
        <f>IF(K36="true",R35,R35&amp;", "&amp;campo(A36,K36)&amp;"="&amp;vincolo(A36,K36,M36))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36" s="6" t="str">
        <f>IF(L36="false","",(pk(A36,L36)))</f>
        <v/>
      </c>
      <c r="T36" s="6" t="str">
        <f>IF(L36="false","",(pk_cond(E36,M36,L36)))</f>
        <v/>
      </c>
      <c r="U36" s="6" t="str">
        <f t="shared" si="1"/>
        <v>codice_azienda=${body['codice_azienda'] AND id_procedura=${body['id_procedura']</v>
      </c>
      <c r="V36" s="2"/>
      <c r="W36" s="2"/>
      <c r="X36" s="2"/>
      <c r="Y36" t="str">
        <f>insertString(Appendice!C36,P36,Q36,$E$5)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36" t="str">
        <f>updateString(GeneraLambda!C36,Appendice!R50,Appendice!U36)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36" t="str">
        <f>deletestring(GeneraLambda!C36,U36)</f>
        <v>`DELETE FROM entrasp._x000D_WHERE codice_azienda=${body['codice_azienda'] AND id_procedura=${body['id_procedura']</v>
      </c>
    </row>
    <row r="37" spans="1:27" ht="17.25" customHeight="1" x14ac:dyDescent="0.25">
      <c r="A37">
        <f>GeneraLambda!D37</f>
        <v>0</v>
      </c>
      <c r="B37" t="s">
        <v>84</v>
      </c>
      <c r="E37">
        <f>GeneraLambda!D37</f>
        <v>0</v>
      </c>
      <c r="G37" t="s">
        <v>85</v>
      </c>
      <c r="H37" t="s">
        <v>87</v>
      </c>
      <c r="I37" t="s">
        <v>87</v>
      </c>
      <c r="J37" t="s">
        <v>85</v>
      </c>
      <c r="K37" t="s">
        <v>85</v>
      </c>
      <c r="L37" t="s">
        <v>85</v>
      </c>
      <c r="M37">
        <f>GeneraLambda!H37</f>
        <v>0</v>
      </c>
      <c r="O37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37" s="2" t="str">
        <f>IF(K37="true",P36, P36&amp;", "&amp;campo(A37,K37))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</v>
      </c>
      <c r="Q37" s="2" t="str">
        <f>IF(K37="true",Q36,Q36&amp;", "&amp;vincolo(A37,K37,M37))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37" s="6" t="str">
        <f>IF(K37="true",R36,R36&amp;", "&amp;campo(A37,K37)&amp;"="&amp;vincolo(A37,K37,M37))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37" s="6" t="str">
        <f>IF(L37="false","",(pk(A37,L37)))</f>
        <v/>
      </c>
      <c r="T37" s="6" t="str">
        <f>IF(L37="false","",(pk_cond(E37,M37,L37)))</f>
        <v/>
      </c>
      <c r="U37" s="6" t="str">
        <f t="shared" si="1"/>
        <v>codice_azienda=${body['codice_azienda'] AND id_procedura=${body['id_procedura']</v>
      </c>
      <c r="V37" s="2"/>
      <c r="W37" s="2"/>
      <c r="X37" s="2"/>
      <c r="Y37" t="str">
        <f>insertString(Appendice!C37,P37,Q37,$E$5)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37" t="str">
        <f>updateString(GeneraLambda!C37,Appendice!R51,Appendice!U37)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37" t="str">
        <f>deletestring(GeneraLambda!C37,U37)</f>
        <v>`DELETE FROM entrasp._x000D_WHERE codice_azienda=${body['codice_azienda'] AND id_procedura=${body['id_procedura']</v>
      </c>
    </row>
    <row r="38" spans="1:27" ht="17.25" customHeight="1" x14ac:dyDescent="0.25">
      <c r="A38">
        <f>GeneraLambda!D38</f>
        <v>0</v>
      </c>
      <c r="B38" t="s">
        <v>84</v>
      </c>
      <c r="E38">
        <f>GeneraLambda!D38</f>
        <v>0</v>
      </c>
      <c r="G38" t="s">
        <v>85</v>
      </c>
      <c r="H38" t="s">
        <v>87</v>
      </c>
      <c r="I38" t="s">
        <v>87</v>
      </c>
      <c r="J38" t="s">
        <v>85</v>
      </c>
      <c r="K38" t="s">
        <v>85</v>
      </c>
      <c r="L38" t="s">
        <v>85</v>
      </c>
      <c r="M38">
        <f>GeneraLambda!H38</f>
        <v>0</v>
      </c>
      <c r="O38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38" s="2" t="str">
        <f>IF(K38="true",P37, P37&amp;", "&amp;campo(A38,K38))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</v>
      </c>
      <c r="Q38" s="2" t="str">
        <f>IF(K38="true",Q37,Q37&amp;", "&amp;vincolo(A38,K38,M38))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38" s="6" t="str">
        <f>IF(K38="true",R37,R37&amp;", "&amp;campo(A38,K38)&amp;"="&amp;vincolo(A38,K38,M38))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38" s="6" t="str">
        <f>IF(L38="false","",(pk(A38,L38)))</f>
        <v/>
      </c>
      <c r="T38" s="6" t="str">
        <f>IF(L38="false","",(pk_cond(E38,M38,L38)))</f>
        <v/>
      </c>
      <c r="U38" s="6" t="str">
        <f t="shared" si="1"/>
        <v>codice_azienda=${body['codice_azienda'] AND id_procedura=${body['id_procedura']</v>
      </c>
      <c r="V38" s="2"/>
      <c r="W38" s="2"/>
      <c r="X38" s="2"/>
      <c r="Y38" t="str">
        <f>insertString(Appendice!C38,P38,Q38,$E$5)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38" t="str">
        <f>updateString(GeneraLambda!C38,Appendice!R52,Appendice!U38)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38" t="str">
        <f>deletestring(GeneraLambda!C38,U38)</f>
        <v>`DELETE FROM entrasp._x000D_WHERE codice_azienda=${body['codice_azienda'] AND id_procedura=${body['id_procedura']</v>
      </c>
    </row>
    <row r="39" spans="1:27" ht="17.25" customHeight="1" x14ac:dyDescent="0.25">
      <c r="A39">
        <f>GeneraLambda!D39</f>
        <v>0</v>
      </c>
      <c r="B39" t="s">
        <v>84</v>
      </c>
      <c r="E39">
        <f>GeneraLambda!D39</f>
        <v>0</v>
      </c>
      <c r="G39" t="s">
        <v>85</v>
      </c>
      <c r="H39" t="s">
        <v>87</v>
      </c>
      <c r="I39" t="s">
        <v>87</v>
      </c>
      <c r="J39" t="s">
        <v>85</v>
      </c>
      <c r="K39" t="s">
        <v>85</v>
      </c>
      <c r="L39" t="s">
        <v>85</v>
      </c>
      <c r="M39">
        <f>GeneraLambda!H39</f>
        <v>0</v>
      </c>
      <c r="O39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39" s="2" t="str">
        <f>IF(K39="true",P38, P38&amp;", "&amp;campo(A39,K39))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</v>
      </c>
      <c r="Q39" s="2" t="str">
        <f>IF(K39="true",Q38,Q38&amp;", "&amp;vincolo(A39,K39,M39))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39" s="6" t="str">
        <f>IF(K39="true",R38,R38&amp;", "&amp;campo(A39,K39)&amp;"="&amp;vincolo(A39,K39,M39))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39" s="6" t="str">
        <f>IF(L39="false","",(pk(A39,L39)))</f>
        <v/>
      </c>
      <c r="T39" s="6" t="str">
        <f>IF(L39="false","",(pk_cond(E39,M39,L39)))</f>
        <v/>
      </c>
      <c r="U39" s="6" t="str">
        <f t="shared" si="1"/>
        <v>codice_azienda=${body['codice_azienda'] AND id_procedura=${body['id_procedura']</v>
      </c>
      <c r="V39" s="2"/>
      <c r="W39" s="2"/>
      <c r="X39" s="2"/>
      <c r="Y39" t="str">
        <f>insertString(Appendice!C39,P39,Q39,$E$5)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39" t="str">
        <f>updateString(GeneraLambda!C39,Appendice!R53,Appendice!U39)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39" t="str">
        <f>deletestring(GeneraLambda!C39,U39)</f>
        <v>`DELETE FROM entrasp._x000D_WHERE codice_azienda=${body['codice_azienda'] AND id_procedura=${body['id_procedura']</v>
      </c>
    </row>
    <row r="40" spans="1:27" ht="17.25" customHeight="1" x14ac:dyDescent="0.25">
      <c r="A40">
        <f>GeneraLambda!D40</f>
        <v>0</v>
      </c>
      <c r="B40" t="s">
        <v>84</v>
      </c>
      <c r="E40">
        <f>GeneraLambda!D40</f>
        <v>0</v>
      </c>
      <c r="G40" t="s">
        <v>85</v>
      </c>
      <c r="H40" t="s">
        <v>87</v>
      </c>
      <c r="I40" t="s">
        <v>87</v>
      </c>
      <c r="J40" t="s">
        <v>85</v>
      </c>
      <c r="K40" t="s">
        <v>85</v>
      </c>
      <c r="L40" t="s">
        <v>85</v>
      </c>
      <c r="M40">
        <f>GeneraLambda!H40</f>
        <v>0</v>
      </c>
      <c r="O40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40" s="2" t="str">
        <f>IF(K40="true",P39, P39&amp;", "&amp;campo(A40,K40))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</v>
      </c>
      <c r="Q40" s="2" t="str">
        <f>IF(K40="true",Q39,Q39&amp;", "&amp;vincolo(A40,K40,M40))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40" s="6" t="str">
        <f>IF(K40="true",R39,R39&amp;", "&amp;campo(A40,K40)&amp;"="&amp;vincolo(A40,K40,M40))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40" s="6" t="str">
        <f>IF(L40="false","",(pk(A40,L40)))</f>
        <v/>
      </c>
      <c r="T40" s="6" t="str">
        <f>IF(L40="false","",(pk_cond(E40,M40,L40)))</f>
        <v/>
      </c>
      <c r="U40" s="6" t="str">
        <f t="shared" si="1"/>
        <v>codice_azienda=${body['codice_azienda'] AND id_procedura=${body['id_procedura']</v>
      </c>
      <c r="V40" s="2"/>
      <c r="W40" s="2"/>
      <c r="X40" s="2"/>
      <c r="Y40" t="str">
        <f>insertString(Appendice!C40,P40,Q40,$E$5)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40" t="str">
        <f>updateString(GeneraLambda!C40,Appendice!R54,Appendice!U40)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40" t="str">
        <f>deletestring(GeneraLambda!C40,U40)</f>
        <v>`DELETE FROM entrasp._x000D_WHERE codice_azienda=${body['codice_azienda'] AND id_procedura=${body['id_procedura']</v>
      </c>
    </row>
    <row r="41" spans="1:27" ht="17.25" customHeight="1" x14ac:dyDescent="0.25">
      <c r="A41">
        <f>GeneraLambda!D41</f>
        <v>0</v>
      </c>
      <c r="B41" t="s">
        <v>84</v>
      </c>
      <c r="E41">
        <f>GeneraLambda!D41</f>
        <v>0</v>
      </c>
      <c r="G41" t="s">
        <v>85</v>
      </c>
      <c r="H41" t="s">
        <v>87</v>
      </c>
      <c r="I41" t="s">
        <v>87</v>
      </c>
      <c r="J41" t="s">
        <v>85</v>
      </c>
      <c r="K41" t="s">
        <v>85</v>
      </c>
      <c r="L41" t="s">
        <v>85</v>
      </c>
      <c r="M41">
        <f>GeneraLambda!H41</f>
        <v>0</v>
      </c>
      <c r="O41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41" s="2" t="str">
        <f>IF(K41="true",P40, P40&amp;", "&amp;campo(A41,K41))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</v>
      </c>
      <c r="Q41" s="2" t="str">
        <f>IF(K41="true",Q40,Q40&amp;", "&amp;vincolo(A41,K41,M41))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41" s="6" t="str">
        <f>IF(K41="true",R40,R40&amp;", "&amp;campo(A41,K41)&amp;"="&amp;vincolo(A41,K41,M41))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41" s="6" t="str">
        <f>IF(L41="false","",(pk(A41,L41)))</f>
        <v/>
      </c>
      <c r="T41" s="6" t="str">
        <f>IF(L41="false","",(pk_cond(E41,M41,L41)))</f>
        <v/>
      </c>
      <c r="U41" s="6" t="str">
        <f t="shared" si="1"/>
        <v>codice_azienda=${body['codice_azienda'] AND id_procedura=${body['id_procedura']</v>
      </c>
      <c r="V41" s="2"/>
      <c r="W41" s="2"/>
      <c r="X41" s="2"/>
      <c r="Y41" t="str">
        <f>insertString(Appendice!C41,P41,Q41,$E$5)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41" t="str">
        <f>updateString(GeneraLambda!C41,Appendice!R55,Appendice!U41)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41" t="str">
        <f>deletestring(GeneraLambda!C41,U41)</f>
        <v>`DELETE FROM entrasp._x000D_WHERE codice_azienda=${body['codice_azienda'] AND id_procedura=${body['id_procedura']</v>
      </c>
    </row>
    <row r="42" spans="1:27" ht="17.25" customHeight="1" x14ac:dyDescent="0.25">
      <c r="A42">
        <f>GeneraLambda!D42</f>
        <v>0</v>
      </c>
      <c r="B42" t="s">
        <v>84</v>
      </c>
      <c r="E42">
        <f>GeneraLambda!D42</f>
        <v>0</v>
      </c>
      <c r="G42" t="s">
        <v>85</v>
      </c>
      <c r="H42" t="s">
        <v>87</v>
      </c>
      <c r="I42" t="s">
        <v>87</v>
      </c>
      <c r="J42" t="s">
        <v>85</v>
      </c>
      <c r="K42" t="s">
        <v>85</v>
      </c>
      <c r="L42" t="s">
        <v>85</v>
      </c>
      <c r="M42">
        <f>GeneraLambda!H42</f>
        <v>0</v>
      </c>
      <c r="O42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42" s="2" t="str">
        <f>IF(K42="true",P41, P41&amp;", "&amp;campo(A42,K42))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</v>
      </c>
      <c r="Q42" s="2" t="str">
        <f>IF(K42="true",Q41,Q41&amp;", "&amp;vincolo(A42,K42,M42))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42" s="6" t="str">
        <f>IF(K42="true",R41,R41&amp;", "&amp;campo(A42,K42)&amp;"="&amp;vincolo(A42,K42,M42))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42" s="6" t="str">
        <f>IF(L42="false","",(pk(A42,L42)))</f>
        <v/>
      </c>
      <c r="T42" s="6" t="str">
        <f>IF(L42="false","",(pk_cond(E42,M42,L42)))</f>
        <v/>
      </c>
      <c r="U42" s="6" t="str">
        <f t="shared" si="1"/>
        <v>codice_azienda=${body['codice_azienda'] AND id_procedura=${body['id_procedura']</v>
      </c>
      <c r="V42" s="2"/>
      <c r="W42" s="2"/>
      <c r="X42" s="2"/>
      <c r="Y42" t="str">
        <f>insertString(Appendice!C42,P42,Q42,$E$5)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42" t="str">
        <f>updateString(GeneraLambda!C42,Appendice!R56,Appendice!U42)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42" t="str">
        <f>deletestring(GeneraLambda!C42,U42)</f>
        <v>`DELETE FROM entrasp._x000D_WHERE codice_azienda=${body['codice_azienda'] AND id_procedura=${body['id_procedura']</v>
      </c>
    </row>
    <row r="43" spans="1:27" ht="17.25" customHeight="1" x14ac:dyDescent="0.25">
      <c r="A43">
        <f>GeneraLambda!D43</f>
        <v>0</v>
      </c>
      <c r="B43" t="s">
        <v>84</v>
      </c>
      <c r="E43">
        <f>GeneraLambda!D43</f>
        <v>0</v>
      </c>
      <c r="G43" t="s">
        <v>85</v>
      </c>
      <c r="H43" t="s">
        <v>87</v>
      </c>
      <c r="I43" t="s">
        <v>87</v>
      </c>
      <c r="J43" t="s">
        <v>85</v>
      </c>
      <c r="K43" t="s">
        <v>85</v>
      </c>
      <c r="L43" t="s">
        <v>85</v>
      </c>
      <c r="M43">
        <f>GeneraLambda!H43</f>
        <v>0</v>
      </c>
      <c r="O43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43" s="2" t="str">
        <f>IF(K43="true",P42, P42&amp;", "&amp;campo(A43,K43))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</v>
      </c>
      <c r="Q43" s="2" t="str">
        <f>IF(K43="true",Q42,Q42&amp;", "&amp;vincolo(A43,K43,M43))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43" s="6" t="str">
        <f>IF(K43="true",R42,R42&amp;", "&amp;campo(A43,K43)&amp;"="&amp;vincolo(A43,K43,M43))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43" s="6" t="str">
        <f>IF(L43="false","",(pk(A43,L43)))</f>
        <v/>
      </c>
      <c r="T43" s="6" t="str">
        <f>IF(L43="false","",(pk_cond(E43,M43,L43)))</f>
        <v/>
      </c>
      <c r="U43" s="6" t="str">
        <f t="shared" si="1"/>
        <v>codice_azienda=${body['codice_azienda'] AND id_procedura=${body['id_procedura']</v>
      </c>
      <c r="V43" s="2"/>
      <c r="W43" s="2"/>
      <c r="X43" s="2"/>
      <c r="Y43" t="str">
        <f>insertString(Appendice!C43,P43,Q43,$E$5)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43" t="str">
        <f>updateString(GeneraLambda!C43,Appendice!R57,Appendice!U43)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43" t="str">
        <f>deletestring(GeneraLambda!C43,U43)</f>
        <v>`DELETE FROM entrasp._x000D_WHERE codice_azienda=${body['codice_azienda'] AND id_procedura=${body['id_procedura']</v>
      </c>
    </row>
    <row r="44" spans="1:27" ht="17.25" customHeight="1" x14ac:dyDescent="0.25">
      <c r="A44">
        <f>GeneraLambda!D44</f>
        <v>0</v>
      </c>
      <c r="B44" t="s">
        <v>84</v>
      </c>
      <c r="E44">
        <f>GeneraLambda!D44</f>
        <v>0</v>
      </c>
      <c r="G44" t="s">
        <v>85</v>
      </c>
      <c r="H44" t="s">
        <v>87</v>
      </c>
      <c r="I44" t="s">
        <v>87</v>
      </c>
      <c r="J44" t="s">
        <v>85</v>
      </c>
      <c r="K44" t="s">
        <v>85</v>
      </c>
      <c r="L44" t="s">
        <v>85</v>
      </c>
      <c r="M44">
        <f>GeneraLambda!H44</f>
        <v>0</v>
      </c>
      <c r="O44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44" s="2" t="str">
        <f>IF(K44="true",P43, P43&amp;", "&amp;campo(A44,K44))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</v>
      </c>
      <c r="Q44" s="2" t="str">
        <f>IF(K44="true",Q43,Q43&amp;", "&amp;vincolo(A44,K44,M44))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44" s="6" t="str">
        <f>IF(K44="true",R43,R43&amp;", "&amp;campo(A44,K44)&amp;"="&amp;vincolo(A44,K44,M44))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44" s="6" t="str">
        <f>IF(L44="false","",(pk(A44,L44)))</f>
        <v/>
      </c>
      <c r="T44" s="6" t="str">
        <f>IF(L44="false","",(pk_cond(E44,M44,L44)))</f>
        <v/>
      </c>
      <c r="U44" s="6" t="str">
        <f t="shared" si="1"/>
        <v>codice_azienda=${body['codice_azienda'] AND id_procedura=${body['id_procedura']</v>
      </c>
      <c r="V44" s="2"/>
      <c r="W44" s="2"/>
      <c r="X44" s="2"/>
      <c r="Y44" t="str">
        <f>insertString(Appendice!C44,P44,Q44,$E$5)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44" t="str">
        <f>updateString(GeneraLambda!C44,Appendice!R58,Appendice!U44)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44" t="str">
        <f>deletestring(GeneraLambda!C44,U44)</f>
        <v>`DELETE FROM entrasp._x000D_WHERE codice_azienda=${body['codice_azienda'] AND id_procedura=${body['id_procedura']</v>
      </c>
    </row>
    <row r="45" spans="1:27" ht="17.25" customHeight="1" x14ac:dyDescent="0.25">
      <c r="A45">
        <f>GeneraLambda!D45</f>
        <v>0</v>
      </c>
      <c r="B45" t="s">
        <v>84</v>
      </c>
      <c r="E45">
        <f>GeneraLambda!D45</f>
        <v>0</v>
      </c>
      <c r="G45" t="s">
        <v>85</v>
      </c>
      <c r="H45" t="s">
        <v>87</v>
      </c>
      <c r="I45" t="s">
        <v>87</v>
      </c>
      <c r="J45" t="s">
        <v>85</v>
      </c>
      <c r="K45" t="s">
        <v>85</v>
      </c>
      <c r="L45" t="s">
        <v>85</v>
      </c>
      <c r="M45">
        <f>GeneraLambda!H45</f>
        <v>0</v>
      </c>
      <c r="O45" s="2" t="str">
        <f t="shared" si="0"/>
        <v>{type: 'input',_x000D_ label: 'codice_azienda',_x000D_ inputType: 'text',_x000D_ name: 'codice_azienda',_x000D_ value: '',_x000D_ readonly: 'true',_x000D_ isVisible: 'false',_x000D_ newLine: 'true'_x000D_},
{type: 'input',_x000D_ label: 'codice',_x000D_ inputType: 'text',_x000D_ name: 'codice',_x000D_ value: '',_x000D_ readonly: 'false',_x000D_ isVisible: 'true',_x000D_ newLine: 'true'_x000D_ validations: [_x000D_{_x000D_name: 'required',_x000D_validator: 'Validators.required',_x000D_message: 'Descrizione mancante'_x000D_}_x000D_]_x000D_},
{type: 'input',_x000D_ label: 'descrizione_breve',_x000D_ inputType: 'text',_x000D_ name: 'descrizione_breve',_x000D_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'id_procedura',_x000D_ value: '',_x000D_ readonly: 'true',_x000D_ isVisible: 'true',_x000D_ newLine: 'true'_x000D_},
{type: 'combobox',_x000D_ label: 'id_procedura_parent',_x000D_ inputType: 'text',_x000D_ name: 'id_procedura_parent',_x000D_ value: '',_x000D_ readonly: 'false',_x000D_ isVisible: 'true',_x000D_ newLine: 'true'_x000D_ options: []_x000D_},
{type: 'input',_x000D_ label: 'ordinamento',_x000D_ inputType: 'text',_x000D_ name: 'ordinamento',_x000D_ value: '',_x000D_ readonly: 'false',_x000D_ isVisible: 'true',_x000D_ newLine: 'true'_x000D_},
{type: 'input',_x000D_ label: 'tree_path',_x000D_ inputType: 'text',_x000D_ name: 'tree_path',_x000D_ value: '',_x000D_ readonly: 'false',_x000D_ isVisible: 'true',_x000D_ newLine: 'true'_x000D_},
{type: 'input',_x000D_ label: 'frequenza',_x000D_ inputType: 'text',_x000D_ name: 'frequenza',_x000D_ value: '',_x000D_ readonly: 'false',_x000D_ isVisible: 'true',_x000D_ newLine: 'true'_x000D_},
{type: 'input',_x000D_ label: 'strumento_informatico',_x000D_ inputType: 'text',_x000D_ name: 'strumento_informatico',_x000D_ value: '',_x000D_ readonly: 'false',_x000D_ isVisible: 'true',_x000D_ newLine: 'true'_x000D_},
{type: 'combobox',_x000D_ label: 'id_centro_gest',_x000D_ inputType: 'text',_x000D_ name: 'id_centro_gest',_x000D_ value: '',_x000D_ readonly: 'false',_x000D_ isVisible: 'true',_x000D_ newLine: 'true'_x000D_ options: []_x000D_},
{type: 'input',_x000D_ label: 'codice_part',_x000D_ inputType: 'text',_x000D_ name: 'codice_part',_x000D_ value: '',_x000D_ readonly: 'false',_x000D_ isVisible: 'true',_x000D_ newLine: 'true'_x000D_},
{type: 'input',_x000D_ label: 'descrizione',_x000D_ inputType: 'text',_x000D_ name: 'descrizione',_x000D_ value: '',_x000D_ readonly: 'false',_x000D_ isVisible: 'true',_x000D_ newLine: 'true'_x000D_ validations: [_x000D_{_x000D_name: 'required',_x000D_validator: 'Validators.required',_x000D_message: 'Descrizione mancante'_x000D_}_x000D_]_x000D_},
{type: 'combobox',_x000D_ label: 'tipo_procedura',_x000D_ inputType: 'text',_x000D_ name: 'tipo_procedura',_x000D_ value: '',_x000D_ readonly: 'false',_x000D_ isVisible: 'true',_x000D_ newLine: 'true'_x000D_ options: []_x000D_},
{type: 'combobox',_x000D_ label: 'stato_attuazione',_x000D_ inputType: 'text',_x000D_ name: 'stato_attuazione',_x000D_ value: '',_x000D_ readonly: 'false',_x000D_ isVisible: 'true',_x000D_ newLine: 'true'_x000D_ options: []_x000D_},
{type: 'combobox',_x000D_ label: 'id_tipo_processo',_x000D_ inputType: 'text',_x000D_ name: 'id_tipo_processo',_x000D_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45" s="2" t="str">
        <f>IF(K45="true",P44, P44&amp;", "&amp;campo(A45,K45))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</v>
      </c>
      <c r="Q45" s="2" t="str">
        <f>IF(K45="true",Q44,Q44&amp;", "&amp;vincolo(A45,K45,M45))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45" s="6" t="str">
        <f>IF(K45="true",R44,R44&amp;", "&amp;campo(A45,K45)&amp;"="&amp;vincolo(A45,K45,M45))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45" s="6" t="str">
        <f>IF(L45="false","",(pk(A45,L45)))</f>
        <v/>
      </c>
      <c r="T45" s="6" t="str">
        <f>IF(L45="false","",(pk_cond(E45,M45,L45)))</f>
        <v/>
      </c>
      <c r="U45" s="6" t="str">
        <f t="shared" si="1"/>
        <v>codice_azienda=${body['codice_azienda'] AND id_procedura=${body['id_procedura']</v>
      </c>
      <c r="V45" s="2"/>
      <c r="W45" s="2"/>
      <c r="X45" s="2"/>
      <c r="Y45" t="str">
        <f>insertString(Appendice!C45,P45,Q45,$E$5)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45" t="str">
        <f>updateString(GeneraLambda!C45,Appendice!R59,Appendice!U45)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45" t="str">
        <f>deletestring(GeneraLambda!C45,U45)</f>
        <v>`DELETE FROM entrasp._x000D_WHERE codice_azienda=${body['codice_azienda'] AND id_procedura=${body['id_procedura']</v>
      </c>
    </row>
    <row r="46" spans="1:27" ht="17.25" customHeight="1" x14ac:dyDescent="0.25">
      <c r="A46">
        <f>GeneraLambda!D46</f>
        <v>0</v>
      </c>
      <c r="B46" t="s">
        <v>84</v>
      </c>
      <c r="E46">
        <f>GeneraLambda!D46</f>
        <v>0</v>
      </c>
      <c r="G46" t="s">
        <v>85</v>
      </c>
      <c r="H46" t="s">
        <v>87</v>
      </c>
      <c r="I46" t="s">
        <v>87</v>
      </c>
      <c r="J46" t="s">
        <v>85</v>
      </c>
      <c r="K46" t="s">
        <v>85</v>
      </c>
      <c r="L46" t="s">
        <v>85</v>
      </c>
      <c r="M46">
        <f>GeneraLambda!H46</f>
        <v>0</v>
      </c>
      <c r="O46" s="2"/>
      <c r="P46" s="2" t="str">
        <f>IF(K46="true",P45, P45&amp;", "&amp;campo(A46,K46))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</v>
      </c>
      <c r="Q46" s="2" t="str">
        <f>IF(K46="true",Q45,Q45&amp;", "&amp;vincolo(A46,K46,M46))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46" s="6" t="str">
        <f>IF(K46="true",R45,R45&amp;", "&amp;campo(A46,K46)&amp;"="&amp;vincolo(A46,K46,M46))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46" s="6" t="str">
        <f>IF(L46="false","",(pk(A46,L46)))</f>
        <v/>
      </c>
      <c r="T46" s="6" t="str">
        <f>IF(L46="false","",(pk_cond(E46,M46,L46)))</f>
        <v/>
      </c>
      <c r="U46" s="6" t="str">
        <f t="shared" si="1"/>
        <v>codice_azienda=${body['codice_azienda'] AND id_procedura=${body['id_procedura']</v>
      </c>
      <c r="V46" s="2"/>
      <c r="W46" s="2"/>
      <c r="X46" s="2"/>
      <c r="Y46" t="str">
        <f>insertString(Appendice!C46,P46,Q46,$E$5)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46" t="str">
        <f>updateString(GeneraLambda!C46,Appendice!R60,Appendice!U46)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46" t="str">
        <f>deletestring(GeneraLambda!C46,U46)</f>
        <v>`DELETE FROM entrasp._x000D_WHERE codice_azienda=${body['codice_azienda'] AND id_procedura=${body['id_procedura']</v>
      </c>
    </row>
    <row r="47" spans="1:27" ht="17.25" customHeight="1" x14ac:dyDescent="0.25">
      <c r="A47">
        <f>GeneraLambda!D47</f>
        <v>0</v>
      </c>
      <c r="B47" t="s">
        <v>84</v>
      </c>
      <c r="E47">
        <f>GeneraLambda!D47</f>
        <v>0</v>
      </c>
      <c r="G47" t="s">
        <v>85</v>
      </c>
      <c r="H47" t="s">
        <v>87</v>
      </c>
      <c r="I47" t="s">
        <v>87</v>
      </c>
      <c r="J47" t="s">
        <v>85</v>
      </c>
      <c r="K47" t="s">
        <v>85</v>
      </c>
      <c r="L47" t="s">
        <v>85</v>
      </c>
      <c r="M47">
        <f>GeneraLambda!H47</f>
        <v>0</v>
      </c>
      <c r="O47" s="2"/>
      <c r="P47" s="2" t="str">
        <f>IF(K47="true",P46, P46&amp;", "&amp;campo(A47,K47))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</v>
      </c>
      <c r="Q47" s="2" t="str">
        <f>IF(K47="true",Q46,Q46&amp;", "&amp;vincolo(A47,K47,M47))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47" s="6" t="str">
        <f>IF(K47="true",R46,R46&amp;", "&amp;campo(A47,K47)&amp;"="&amp;vincolo(A47,K47,M47))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47" s="6" t="str">
        <f>IF(L47="false","",(pk(A47,L47)))</f>
        <v/>
      </c>
      <c r="T47" s="6" t="str">
        <f>IF(L47="false","",(pk_cond(E47,M47,L47)))</f>
        <v/>
      </c>
      <c r="U47" s="6" t="str">
        <f t="shared" si="1"/>
        <v>codice_azienda=${body['codice_azienda'] AND id_procedura=${body['id_procedura']</v>
      </c>
      <c r="V47" s="2"/>
      <c r="W47" s="2"/>
      <c r="X47" s="2"/>
      <c r="Y47" t="str">
        <f>insertString(Appendice!C47,P47,Q47,$E$5)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47" t="str">
        <f>updateString(GeneraLambda!C47,Appendice!R61,Appendice!U47)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47" t="str">
        <f>deletestring(GeneraLambda!C47,U47)</f>
        <v>`DELETE FROM entrasp._x000D_WHERE codice_azienda=${body['codice_azienda'] AND id_procedura=${body['id_procedura']</v>
      </c>
    </row>
    <row r="48" spans="1:27" ht="17.25" customHeight="1" x14ac:dyDescent="0.25">
      <c r="A48">
        <f>GeneraLambda!D48</f>
        <v>0</v>
      </c>
      <c r="B48" t="s">
        <v>84</v>
      </c>
      <c r="E48">
        <f>GeneraLambda!D48</f>
        <v>0</v>
      </c>
      <c r="G48" t="s">
        <v>85</v>
      </c>
      <c r="H48" t="s">
        <v>87</v>
      </c>
      <c r="I48" t="s">
        <v>87</v>
      </c>
      <c r="J48" t="s">
        <v>85</v>
      </c>
      <c r="K48" t="s">
        <v>85</v>
      </c>
      <c r="L48" t="s">
        <v>85</v>
      </c>
      <c r="M48">
        <f>GeneraLambda!H48</f>
        <v>0</v>
      </c>
      <c r="O48" s="2"/>
      <c r="P48" s="2" t="str">
        <f>IF(K48="true",P47, P47&amp;", "&amp;campo(A48,K48))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</v>
      </c>
      <c r="Q48" s="2" t="str">
        <f>IF(K48="true",Q47,Q47&amp;", "&amp;vincolo(A48,K48,M48))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48" s="6" t="str">
        <f>IF(K48="true",R47,R47&amp;", "&amp;campo(A48,K48)&amp;"="&amp;vincolo(A48,K48,M48))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48" s="6" t="str">
        <f>IF(L48="false","",(pk(A48,L48)))</f>
        <v/>
      </c>
      <c r="T48" s="6" t="str">
        <f>IF(L48="false","",(pk_cond(E48,M48,L48)))</f>
        <v/>
      </c>
      <c r="U48" s="6" t="str">
        <f t="shared" si="1"/>
        <v>codice_azienda=${body['codice_azienda'] AND id_procedura=${body['id_procedura']</v>
      </c>
      <c r="V48" s="2"/>
      <c r="W48" s="2"/>
      <c r="X48" s="2"/>
      <c r="Y48" t="str">
        <f>insertString(Appendice!C48,P48,Q48,$E$5)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48" t="str">
        <f>updateString(GeneraLambda!C48,Appendice!R62,Appendice!U48)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48" t="str">
        <f>deletestring(GeneraLambda!C48,U48)</f>
        <v>`DELETE FROM entrasp._x000D_WHERE codice_azienda=${body['codice_azienda'] AND id_procedura=${body['id_procedura']</v>
      </c>
    </row>
    <row r="49" spans="1:27" ht="17.25" customHeight="1" x14ac:dyDescent="0.25">
      <c r="A49">
        <f>GeneraLambda!D49</f>
        <v>0</v>
      </c>
      <c r="B49" t="s">
        <v>84</v>
      </c>
      <c r="E49">
        <f>GeneraLambda!D49</f>
        <v>0</v>
      </c>
      <c r="G49" t="s">
        <v>85</v>
      </c>
      <c r="H49" t="s">
        <v>87</v>
      </c>
      <c r="I49" t="s">
        <v>87</v>
      </c>
      <c r="J49" t="s">
        <v>85</v>
      </c>
      <c r="K49" t="s">
        <v>85</v>
      </c>
      <c r="L49" t="s">
        <v>85</v>
      </c>
      <c r="M49">
        <f>GeneraLambda!H49</f>
        <v>0</v>
      </c>
      <c r="O49" s="2"/>
      <c r="P49" s="2" t="str">
        <f>IF(K49="true",P48, P48&amp;", "&amp;campo(A49,K49))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</v>
      </c>
      <c r="Q49" s="2" t="str">
        <f>IF(K49="true",Q48,Q48&amp;", "&amp;vincolo(A49,K49,M49))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49" s="6" t="str">
        <f>IF(K49="true",R48,R48&amp;", "&amp;campo(A49,K49)&amp;"="&amp;vincolo(A49,K49,M49))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49" s="6" t="str">
        <f>IF(L49="false","",(pk(A49,L49)))</f>
        <v/>
      </c>
      <c r="T49" s="6" t="str">
        <f>IF(L49="false","",(pk_cond(E49,M49,L49)))</f>
        <v/>
      </c>
      <c r="U49" s="6" t="str">
        <f t="shared" si="1"/>
        <v>codice_azienda=${body['codice_azienda'] AND id_procedura=${body['id_procedura']</v>
      </c>
      <c r="V49" s="2"/>
      <c r="W49" s="2"/>
      <c r="X49" s="2"/>
      <c r="Y49" t="str">
        <f>insertString(Appendice!C49,P49,Q49,$E$5)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49" t="str">
        <f>updateString(GeneraLambda!C49,Appendice!R63,Appendice!U49)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49" t="str">
        <f>deletestring(GeneraLambda!C49,U49)</f>
        <v>`DELETE FROM entrasp._x000D_WHERE codice_azienda=${body['codice_azienda'] AND id_procedura=${body['id_procedura']</v>
      </c>
    </row>
    <row r="50" spans="1:27" ht="17.25" customHeight="1" x14ac:dyDescent="0.25">
      <c r="A50">
        <f>GeneraLambda!D50</f>
        <v>0</v>
      </c>
      <c r="B50" t="s">
        <v>84</v>
      </c>
      <c r="E50">
        <f>GeneraLambda!D50</f>
        <v>0</v>
      </c>
      <c r="G50" t="s">
        <v>85</v>
      </c>
      <c r="H50" t="s">
        <v>87</v>
      </c>
      <c r="I50" t="s">
        <v>87</v>
      </c>
      <c r="J50" t="s">
        <v>85</v>
      </c>
      <c r="K50" t="s">
        <v>85</v>
      </c>
      <c r="L50" t="s">
        <v>85</v>
      </c>
      <c r="M50">
        <f>GeneraLambda!H50</f>
        <v>0</v>
      </c>
      <c r="O50" s="2"/>
      <c r="P50" s="2" t="str">
        <f>IF(K50="true",P49, P49&amp;", "&amp;campo(A50,K50))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</v>
      </c>
      <c r="Q50" s="2" t="str">
        <f>IF(K50="true",Q49,Q49&amp;", "&amp;vincolo(A50,K50,M50))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50" s="6" t="str">
        <f>IF(K50="true",R49,R49&amp;", "&amp;campo(A50,K50)&amp;"="&amp;vincolo(A50,K50,M50))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50" s="6" t="str">
        <f>IF(L50="false","",(pk(A50,L50)))</f>
        <v/>
      </c>
      <c r="T50" s="6" t="str">
        <f>IF(L50="false","",(pk_cond(E50,M50,L50)))</f>
        <v/>
      </c>
      <c r="U50" s="6" t="str">
        <f t="shared" si="1"/>
        <v>codice_azienda=${body['codice_azienda'] AND id_procedura=${body['id_procedura']</v>
      </c>
      <c r="V50" s="2"/>
      <c r="W50" s="2"/>
      <c r="X50" s="2"/>
      <c r="Y50" t="str">
        <f>insertString(Appendice!C50,P50,Q50,$E$5)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50" t="str">
        <f>updateString(GeneraLambda!C50,Appendice!R64,Appendice!U50)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50" t="str">
        <f>deletestring(GeneraLambda!C50,U50)</f>
        <v>`DELETE FROM entrasp._x000D_WHERE codice_azienda=${body['codice_azienda'] AND id_procedura=${body['id_procedura']</v>
      </c>
    </row>
    <row r="51" spans="1:27" ht="17.25" customHeight="1" x14ac:dyDescent="0.25">
      <c r="A51">
        <f>GeneraLambda!D51</f>
        <v>0</v>
      </c>
      <c r="B51" t="s">
        <v>84</v>
      </c>
      <c r="E51">
        <f>GeneraLambda!D51</f>
        <v>0</v>
      </c>
      <c r="G51" t="s">
        <v>85</v>
      </c>
      <c r="H51" t="s">
        <v>87</v>
      </c>
      <c r="I51" t="s">
        <v>87</v>
      </c>
      <c r="J51" t="s">
        <v>85</v>
      </c>
      <c r="K51" t="s">
        <v>85</v>
      </c>
      <c r="L51" t="s">
        <v>85</v>
      </c>
      <c r="M51">
        <f>GeneraLambda!H51</f>
        <v>0</v>
      </c>
      <c r="O51" s="2"/>
      <c r="P51" s="2" t="str">
        <f>IF(K51="true",P50, P50&amp;", "&amp;campo(A51,K51))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</v>
      </c>
      <c r="Q51" s="2" t="str">
        <f>IF(K51="true",Q50,Q50&amp;", "&amp;vincolo(A51,K51,M51))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51" s="6" t="str">
        <f>IF(K51="true",R50,R50&amp;", "&amp;campo(A51,K51)&amp;"="&amp;vincolo(A51,K51,M51))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51" s="6" t="str">
        <f>IF(L51="false","",(pk(A51,L51)))</f>
        <v/>
      </c>
      <c r="T51" s="6" t="str">
        <f>IF(L51="false","",(pk_cond(E51,M51,L51)))</f>
        <v/>
      </c>
      <c r="U51" s="6" t="str">
        <f t="shared" si="1"/>
        <v>codice_azienda=${body['codice_azienda'] AND id_procedura=${body['id_procedura']</v>
      </c>
      <c r="V51" s="2"/>
      <c r="W51" s="2"/>
      <c r="X51" s="2"/>
      <c r="Y51" t="str">
        <f>insertString(Appendice!C51,P51,Q51,$E$5)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51" t="str">
        <f>updateString(GeneraLambda!C51,Appendice!R65,Appendice!U51)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51" t="str">
        <f>deletestring(GeneraLambda!C51,U51)</f>
        <v>`DELETE FROM entrasp._x000D_WHERE codice_azienda=${body['codice_azienda'] AND id_procedura=${body['id_procedura']</v>
      </c>
    </row>
    <row r="52" spans="1:27" ht="17.25" customHeight="1" x14ac:dyDescent="0.25">
      <c r="A52">
        <f>GeneraLambda!D52</f>
        <v>0</v>
      </c>
      <c r="B52" t="s">
        <v>84</v>
      </c>
      <c r="E52">
        <f>GeneraLambda!D52</f>
        <v>0</v>
      </c>
      <c r="G52" t="s">
        <v>85</v>
      </c>
      <c r="H52" t="s">
        <v>87</v>
      </c>
      <c r="I52" t="s">
        <v>87</v>
      </c>
      <c r="J52" t="s">
        <v>85</v>
      </c>
      <c r="K52" t="s">
        <v>85</v>
      </c>
      <c r="L52" t="s">
        <v>85</v>
      </c>
      <c r="M52">
        <f>GeneraLambda!H52</f>
        <v>0</v>
      </c>
      <c r="O52" s="2"/>
      <c r="P52" s="2" t="str">
        <f>IF(K52="true",P51, P51&amp;", "&amp;campo(A52,K52))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</v>
      </c>
      <c r="Q52" s="2" t="str">
        <f>IF(K52="true",Q51,Q51&amp;", "&amp;vincolo(A52,K52,M52))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52" s="6" t="str">
        <f>IF(K52="true",R51,R51&amp;", "&amp;campo(A52,K52)&amp;"="&amp;vincolo(A52,K52,M52))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52" s="6" t="str">
        <f>IF(L52="false","",(pk(A52,L52)))</f>
        <v/>
      </c>
      <c r="T52" s="6" t="str">
        <f>IF(L52="false","",(pk_cond(E52,M52,L52)))</f>
        <v/>
      </c>
      <c r="U52" s="6" t="str">
        <f t="shared" si="1"/>
        <v>codice_azienda=${body['codice_azienda'] AND id_procedura=${body['id_procedura']</v>
      </c>
      <c r="V52" s="2"/>
      <c r="W52" s="2"/>
      <c r="X52" s="2"/>
      <c r="Y52" t="str">
        <f>insertString(Appendice!C52,P52,Q52,$E$5)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52" t="str">
        <f>updateString(GeneraLambda!C52,Appendice!R66,Appendice!U52)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52" t="str">
        <f>deletestring(GeneraLambda!C52,U52)</f>
        <v>`DELETE FROM entrasp._x000D_WHERE codice_azienda=${body['codice_azienda'] AND id_procedura=${body['id_procedura']</v>
      </c>
    </row>
    <row r="53" spans="1:27" ht="17.25" customHeight="1" x14ac:dyDescent="0.25">
      <c r="A53">
        <f>GeneraLambda!D53</f>
        <v>0</v>
      </c>
      <c r="B53" t="s">
        <v>84</v>
      </c>
      <c r="E53">
        <f>GeneraLambda!D53</f>
        <v>0</v>
      </c>
      <c r="G53" t="s">
        <v>85</v>
      </c>
      <c r="H53" t="s">
        <v>87</v>
      </c>
      <c r="I53" t="s">
        <v>87</v>
      </c>
      <c r="J53" t="s">
        <v>85</v>
      </c>
      <c r="K53" t="s">
        <v>85</v>
      </c>
      <c r="L53" t="s">
        <v>85</v>
      </c>
      <c r="M53">
        <f>GeneraLambda!H53</f>
        <v>0</v>
      </c>
      <c r="O53" s="2"/>
      <c r="P53" s="2" t="str">
        <f>IF(K53="true",P52, P52&amp;", "&amp;campo(A53,K53))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</v>
      </c>
      <c r="Q53" s="2" t="str">
        <f>IF(K53="true",Q52,Q52&amp;", "&amp;vincolo(A53,K53,M53))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53" s="6" t="str">
        <f>IF(K53="true",R52,R52&amp;", "&amp;campo(A53,K53)&amp;"="&amp;vincolo(A53,K53,M53))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53" s="6" t="str">
        <f>IF(L53="false","",(pk(A53,L53)))</f>
        <v/>
      </c>
      <c r="T53" s="6" t="str">
        <f>IF(L53="false","",(pk_cond(E53,M53,L53)))</f>
        <v/>
      </c>
      <c r="U53" s="6" t="str">
        <f t="shared" si="1"/>
        <v>codice_azienda=${body['codice_azienda'] AND id_procedura=${body['id_procedura']</v>
      </c>
      <c r="V53" s="2"/>
      <c r="W53" s="2"/>
      <c r="X53" s="2"/>
      <c r="Y53" t="str">
        <f>insertString(Appendice!C53,P53,Q53,$E$5)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53" t="str">
        <f>updateString(GeneraLambda!C53,Appendice!R67,Appendice!U53)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53" t="str">
        <f>deletestring(GeneraLambda!C53,U53)</f>
        <v>`DELETE FROM entrasp._x000D_WHERE codice_azienda=${body['codice_azienda'] AND id_procedura=${body['id_procedura']</v>
      </c>
    </row>
    <row r="54" spans="1:27" ht="17.25" customHeight="1" x14ac:dyDescent="0.25">
      <c r="A54">
        <f>GeneraLambda!D54</f>
        <v>0</v>
      </c>
      <c r="B54" t="s">
        <v>84</v>
      </c>
      <c r="E54">
        <f>GeneraLambda!D54</f>
        <v>0</v>
      </c>
      <c r="G54" t="s">
        <v>85</v>
      </c>
      <c r="H54" t="s">
        <v>87</v>
      </c>
      <c r="I54" t="s">
        <v>87</v>
      </c>
      <c r="J54" t="s">
        <v>85</v>
      </c>
      <c r="K54" t="s">
        <v>85</v>
      </c>
      <c r="L54" t="s">
        <v>85</v>
      </c>
      <c r="M54">
        <f>GeneraLambda!H54</f>
        <v>0</v>
      </c>
      <c r="O54" s="2"/>
      <c r="P54" s="2" t="str">
        <f>IF(K54="true",P53, P53&amp;", "&amp;campo(A54,K54))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</v>
      </c>
      <c r="Q54" s="2" t="str">
        <f>IF(K54="true",Q53,Q53&amp;", "&amp;vincolo(A54,K54,M54))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54" s="6" t="str">
        <f>IF(K54="true",R53,R53&amp;", "&amp;campo(A54,K54)&amp;"="&amp;vincolo(A54,K54,M54))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54" s="6" t="str">
        <f>IF(L54="false","",(pk(A54,L54)))</f>
        <v/>
      </c>
      <c r="T54" s="6" t="str">
        <f>IF(L54="false","",(pk_cond(E54,M54,L54)))</f>
        <v/>
      </c>
      <c r="U54" s="6" t="str">
        <f t="shared" si="1"/>
        <v>codice_azienda=${body['codice_azienda'] AND id_procedura=${body['id_procedura']</v>
      </c>
      <c r="V54" s="2"/>
      <c r="W54" s="2"/>
      <c r="X54" s="2"/>
      <c r="Y54" t="str">
        <f>insertString(Appendice!C54,P54,Q54,$E$5)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54" t="str">
        <f>updateString(GeneraLambda!C54,Appendice!R68,Appendice!U54)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54" t="str">
        <f>deletestring(GeneraLambda!C54,U54)</f>
        <v>`DELETE FROM entrasp._x000D_WHERE codice_azienda=${body['codice_azienda'] AND id_procedura=${body['id_procedura']</v>
      </c>
    </row>
    <row r="55" spans="1:27" ht="17.25" customHeight="1" x14ac:dyDescent="0.25">
      <c r="A55">
        <f>GeneraLambda!D55</f>
        <v>0</v>
      </c>
      <c r="B55" t="s">
        <v>84</v>
      </c>
      <c r="E55">
        <f>GeneraLambda!D55</f>
        <v>0</v>
      </c>
      <c r="G55" t="s">
        <v>85</v>
      </c>
      <c r="H55" t="s">
        <v>87</v>
      </c>
      <c r="I55" t="s">
        <v>87</v>
      </c>
      <c r="J55" t="s">
        <v>85</v>
      </c>
      <c r="K55" t="s">
        <v>85</v>
      </c>
      <c r="L55" t="s">
        <v>85</v>
      </c>
      <c r="M55">
        <f>GeneraLambda!H55</f>
        <v>0</v>
      </c>
      <c r="O55" s="2"/>
      <c r="P55" s="2" t="str">
        <f>IF(K55="true",P54, P54&amp;", "&amp;campo(A55,K55))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</v>
      </c>
      <c r="Q55" s="2" t="str">
        <f>IF(K55="true",Q54,Q54&amp;", "&amp;vincolo(A55,K55,M55))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55" s="6" t="str">
        <f>IF(K55="true",R54,R54&amp;", "&amp;campo(A55,K55)&amp;"="&amp;vincolo(A55,K55,M55))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55" s="6" t="str">
        <f>IF(L55="false","",(pk(A55,L55)))</f>
        <v/>
      </c>
      <c r="T55" s="6" t="str">
        <f>IF(L55="false","",(pk_cond(E55,M55,L55)))</f>
        <v/>
      </c>
      <c r="U55" s="6" t="str">
        <f t="shared" si="1"/>
        <v>codice_azienda=${body['codice_azienda'] AND id_procedura=${body['id_procedura']</v>
      </c>
      <c r="V55" s="2"/>
      <c r="W55" s="2"/>
      <c r="X55" s="2"/>
      <c r="Y55" t="str">
        <f>insertString(Appendice!C55,P55,Q55,$E$5)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55" t="str">
        <f>updateString(GeneraLambda!C55,Appendice!R69,Appendice!U55)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55" t="str">
        <f>deletestring(GeneraLambda!C55,U55)</f>
        <v>`DELETE FROM entrasp._x000D_WHERE codice_azienda=${body['codice_azienda'] AND id_procedura=${body['id_procedura']</v>
      </c>
    </row>
    <row r="56" spans="1:27" ht="17.25" customHeight="1" x14ac:dyDescent="0.25">
      <c r="A56">
        <f>GeneraLambda!D56</f>
        <v>0</v>
      </c>
      <c r="B56" t="s">
        <v>84</v>
      </c>
      <c r="E56">
        <f>GeneraLambda!D56</f>
        <v>0</v>
      </c>
      <c r="G56" t="s">
        <v>85</v>
      </c>
      <c r="H56" t="s">
        <v>87</v>
      </c>
      <c r="I56" t="s">
        <v>87</v>
      </c>
      <c r="J56" t="s">
        <v>85</v>
      </c>
      <c r="K56" t="s">
        <v>85</v>
      </c>
      <c r="L56" t="s">
        <v>85</v>
      </c>
      <c r="M56">
        <f>GeneraLambda!H56</f>
        <v>0</v>
      </c>
      <c r="O56" s="2"/>
      <c r="P56" s="2" t="str">
        <f>IF(K56="true",P55, P55&amp;", "&amp;campo(A56,K56))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</v>
      </c>
      <c r="Q56" s="2" t="str">
        <f>IF(K56="true",Q55,Q55&amp;", "&amp;vincolo(A56,K56,M56))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56" s="6" t="str">
        <f>IF(K56="true",R55,R55&amp;", "&amp;campo(A56,K56)&amp;"="&amp;vincolo(A56,K56,M56))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56" s="6" t="str">
        <f>IF(L56="false","",(pk(A56,L56)))</f>
        <v/>
      </c>
      <c r="T56" s="6" t="str">
        <f>IF(L56="false","",(pk_cond(E56,M56,L56)))</f>
        <v/>
      </c>
      <c r="U56" s="6" t="str">
        <f t="shared" si="1"/>
        <v>codice_azienda=${body['codice_azienda'] AND id_procedura=${body['id_procedura']</v>
      </c>
      <c r="V56" s="2"/>
      <c r="W56" s="2"/>
      <c r="X56" s="2"/>
      <c r="Y56" t="str">
        <f>insertString(Appendice!C56,P56,Q56,$E$5)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56" t="str">
        <f>updateString(GeneraLambda!C56,Appendice!R70,Appendice!U56)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56" t="str">
        <f>deletestring(GeneraLambda!C56,U56)</f>
        <v>`DELETE FROM entrasp._x000D_WHERE codice_azienda=${body['codice_azienda'] AND id_procedura=${body['id_procedura']</v>
      </c>
    </row>
    <row r="57" spans="1:27" ht="17.25" customHeight="1" x14ac:dyDescent="0.25">
      <c r="A57">
        <f>GeneraLambda!D57</f>
        <v>0</v>
      </c>
      <c r="B57" t="s">
        <v>84</v>
      </c>
      <c r="E57">
        <f>GeneraLambda!D57</f>
        <v>0</v>
      </c>
      <c r="G57" t="s">
        <v>85</v>
      </c>
      <c r="H57" t="s">
        <v>87</v>
      </c>
      <c r="I57" t="s">
        <v>87</v>
      </c>
      <c r="J57" t="s">
        <v>85</v>
      </c>
      <c r="K57" t="s">
        <v>85</v>
      </c>
      <c r="L57" t="s">
        <v>85</v>
      </c>
      <c r="M57">
        <f>GeneraLambda!H57</f>
        <v>0</v>
      </c>
      <c r="O57" s="2"/>
      <c r="P57" s="2" t="str">
        <f>IF(K57="true",P56, P56&amp;", "&amp;campo(A57,K57))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</v>
      </c>
      <c r="Q57" s="2" t="str">
        <f>IF(K57="true",Q56,Q56&amp;", "&amp;vincolo(A57,K57,M57))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57" s="6" t="str">
        <f>IF(K57="true",R56,R56&amp;", "&amp;campo(A57,K57)&amp;"="&amp;vincolo(A57,K57,M57))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57" s="6" t="str">
        <f>IF(L57="false","",(pk(A57,L57)))</f>
        <v/>
      </c>
      <c r="T57" s="6" t="str">
        <f>IF(L57="false","",(pk_cond(E57,M57,L57)))</f>
        <v/>
      </c>
      <c r="U57" s="6" t="str">
        <f t="shared" si="1"/>
        <v>codice_azienda=${body['codice_azienda'] AND id_procedura=${body['id_procedura']</v>
      </c>
      <c r="V57" s="2"/>
      <c r="W57" s="2"/>
      <c r="X57" s="2"/>
      <c r="Y57" t="str">
        <f>insertString(Appendice!C57,P57,Q57,$E$5)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57" t="str">
        <f>updateString(GeneraLambda!C57,Appendice!R71,Appendice!U57)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57" t="str">
        <f>deletestring(GeneraLambda!C57,U57)</f>
        <v>`DELETE FROM entrasp._x000D_WHERE codice_azienda=${body['codice_azienda'] AND id_procedura=${body['id_procedura']</v>
      </c>
    </row>
    <row r="58" spans="1:27" ht="17.25" customHeight="1" x14ac:dyDescent="0.25">
      <c r="A58">
        <f>GeneraLambda!D58</f>
        <v>0</v>
      </c>
      <c r="B58" t="s">
        <v>84</v>
      </c>
      <c r="E58">
        <f>GeneraLambda!D58</f>
        <v>0</v>
      </c>
      <c r="G58" t="s">
        <v>85</v>
      </c>
      <c r="H58" t="s">
        <v>87</v>
      </c>
      <c r="I58" t="s">
        <v>87</v>
      </c>
      <c r="J58" t="s">
        <v>85</v>
      </c>
      <c r="K58" t="s">
        <v>85</v>
      </c>
      <c r="L58" t="s">
        <v>85</v>
      </c>
      <c r="M58">
        <f>GeneraLambda!H58</f>
        <v>0</v>
      </c>
      <c r="O58" s="2"/>
      <c r="P58" s="2" t="str">
        <f>IF(K58="true",P57, P57&amp;", "&amp;campo(A58,K58))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</v>
      </c>
      <c r="Q58" s="2" t="str">
        <f>IF(K58="true",Q57,Q57&amp;", "&amp;vincolo(A58,K58,M58))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58" s="6" t="str">
        <f>IF(K58="true",R57,R57&amp;", "&amp;campo(A58,K58)&amp;"="&amp;vincolo(A58,K58,M58))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58" s="6" t="str">
        <f>IF(L58="false","",(pk(A58,L58)))</f>
        <v/>
      </c>
      <c r="T58" s="6" t="str">
        <f>IF(L58="false","",(pk_cond(E58,M58,L58)))</f>
        <v/>
      </c>
      <c r="U58" s="6" t="str">
        <f t="shared" si="1"/>
        <v>codice_azienda=${body['codice_azienda'] AND id_procedura=${body['id_procedura']</v>
      </c>
      <c r="V58" s="2"/>
      <c r="W58" s="2"/>
      <c r="X58" s="2"/>
      <c r="Y58" t="str">
        <f>insertString(Appendice!C58,P58,Q58,$E$5)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58" t="str">
        <f>updateString(GeneraLambda!C58,Appendice!R72,Appendice!U58)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58" t="str">
        <f>deletestring(GeneraLambda!C58,U58)</f>
        <v>`DELETE FROM entrasp._x000D_WHERE codice_azienda=${body['codice_azienda'] AND id_procedura=${body['id_procedura']</v>
      </c>
    </row>
    <row r="59" spans="1:27" ht="17.25" customHeight="1" x14ac:dyDescent="0.25">
      <c r="A59">
        <f>GeneraLambda!D59</f>
        <v>0</v>
      </c>
      <c r="B59" t="s">
        <v>84</v>
      </c>
      <c r="E59">
        <f>GeneraLambda!D59</f>
        <v>0</v>
      </c>
      <c r="G59" t="s">
        <v>85</v>
      </c>
      <c r="H59" t="s">
        <v>87</v>
      </c>
      <c r="I59" t="s">
        <v>87</v>
      </c>
      <c r="J59" t="s">
        <v>85</v>
      </c>
      <c r="K59" t="s">
        <v>85</v>
      </c>
      <c r="L59" t="s">
        <v>85</v>
      </c>
      <c r="M59">
        <f>GeneraLambda!H59</f>
        <v>0</v>
      </c>
      <c r="O59" s="2"/>
      <c r="P59" s="2" t="str">
        <f>IF(K59="true",P58, P58&amp;", "&amp;campo(A59,K59))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</v>
      </c>
      <c r="Q59" s="2" t="str">
        <f>IF(K59="true",Q58,Q58&amp;", "&amp;vincolo(A59,K59,M59))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59" s="6" t="str">
        <f>IF(K59="true",R58,R58&amp;", "&amp;campo(A59,K59)&amp;"="&amp;vincolo(A59,K59,M59))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59" s="6" t="str">
        <f>IF(L59="false","",(pk(A59,L59)))</f>
        <v/>
      </c>
      <c r="T59" s="6" t="str">
        <f>IF(L59="false","",(pk_cond(E59,M59,L59)))</f>
        <v/>
      </c>
      <c r="U59" s="6" t="str">
        <f t="shared" si="1"/>
        <v>codice_azienda=${body['codice_azienda'] AND id_procedura=${body['id_procedura']</v>
      </c>
      <c r="V59" s="2"/>
      <c r="W59" s="2"/>
      <c r="X59" s="2"/>
      <c r="Y59" t="str">
        <f>insertString(Appendice!C59,P59,Q59,$E$5)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59" t="str">
        <f>updateString(GeneraLambda!C59,Appendice!R73,Appendice!U59)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59" t="str">
        <f>deletestring(GeneraLambda!C59,U59)</f>
        <v>`DELETE FROM entrasp._x000D_WHERE codice_azienda=${body['codice_azienda'] AND id_procedura=${body['id_procedura']</v>
      </c>
    </row>
    <row r="60" spans="1:27" ht="17.25" customHeight="1" x14ac:dyDescent="0.25">
      <c r="A60">
        <f>GeneraLambda!D60</f>
        <v>0</v>
      </c>
      <c r="B60" t="s">
        <v>84</v>
      </c>
      <c r="E60">
        <f>GeneraLambda!D60</f>
        <v>0</v>
      </c>
      <c r="G60" t="s">
        <v>85</v>
      </c>
      <c r="H60" t="s">
        <v>87</v>
      </c>
      <c r="I60" t="s">
        <v>87</v>
      </c>
      <c r="J60" t="s">
        <v>85</v>
      </c>
      <c r="K60" t="s">
        <v>85</v>
      </c>
      <c r="L60" t="s">
        <v>85</v>
      </c>
      <c r="M60">
        <f>GeneraLambda!H60</f>
        <v>0</v>
      </c>
      <c r="O60" s="2"/>
      <c r="P60" s="2" t="str">
        <f>IF(K60="true",P59, P59&amp;", "&amp;campo(A60,K60))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</v>
      </c>
      <c r="Q60" s="2" t="str">
        <f>IF(K60="true",Q59,Q59&amp;", "&amp;vincolo(A60,K60,M60))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60" s="6" t="str">
        <f>IF(K60="true",R59,R59&amp;", "&amp;campo(A60,K60)&amp;"="&amp;vincolo(A60,K60,M60))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60" s="6" t="str">
        <f>IF(L60="false","",(pk(A60,L60)))</f>
        <v/>
      </c>
      <c r="T60" s="6" t="str">
        <f>IF(L60="false","",(pk_cond(E60,M60,L60)))</f>
        <v/>
      </c>
      <c r="U60" s="6" t="str">
        <f t="shared" si="1"/>
        <v>codice_azienda=${body['codice_azienda'] AND id_procedura=${body['id_procedura']</v>
      </c>
      <c r="V60" s="2"/>
      <c r="W60" s="2"/>
      <c r="X60" s="2"/>
      <c r="Y60" t="str">
        <f>insertString(Appendice!C60,P60,Q60,$E$5)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60" t="str">
        <f>updateString(GeneraLambda!C60,Appendice!R74,Appendice!U60)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60" t="str">
        <f>deletestring(GeneraLambda!C60,U60)</f>
        <v>`DELETE FROM entrasp._x000D_WHERE codice_azienda=${body['codice_azienda'] AND id_procedura=${body['id_procedura']</v>
      </c>
    </row>
    <row r="61" spans="1:27" ht="17.25" customHeight="1" x14ac:dyDescent="0.25">
      <c r="A61">
        <f>GeneraLambda!D61</f>
        <v>0</v>
      </c>
      <c r="B61" t="s">
        <v>84</v>
      </c>
      <c r="E61">
        <f>GeneraLambda!D61</f>
        <v>0</v>
      </c>
      <c r="G61" t="s">
        <v>85</v>
      </c>
      <c r="H61" t="s">
        <v>87</v>
      </c>
      <c r="I61" t="s">
        <v>87</v>
      </c>
      <c r="J61" t="s">
        <v>85</v>
      </c>
      <c r="K61" t="s">
        <v>85</v>
      </c>
      <c r="L61" t="s">
        <v>85</v>
      </c>
      <c r="M61">
        <f>GeneraLambda!H61</f>
        <v>0</v>
      </c>
      <c r="O61" s="2"/>
      <c r="P61" s="2" t="str">
        <f>IF(K61="true",P60, P60&amp;", "&amp;campo(A61,K61))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</v>
      </c>
      <c r="Q61" s="2" t="str">
        <f>IF(K61="true",Q60,Q60&amp;", "&amp;vincolo(A61,K61,M61))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61" s="6" t="str">
        <f>IF(K61="true",R60,R60&amp;", "&amp;campo(A61,K61)&amp;"="&amp;vincolo(A61,K61,M61))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61" s="6" t="str">
        <f>IF(L61="false","",(pk(A61,L61)))</f>
        <v/>
      </c>
      <c r="T61" s="6" t="str">
        <f>IF(L61="false","",(pk_cond(E61,M61,L61)))</f>
        <v/>
      </c>
      <c r="U61" s="6" t="str">
        <f t="shared" si="1"/>
        <v>codice_azienda=${body['codice_azienda'] AND id_procedura=${body['id_procedura']</v>
      </c>
      <c r="V61" s="2"/>
      <c r="W61" s="2"/>
      <c r="X61" s="2"/>
      <c r="Y61" t="str">
        <f>insertString(Appendice!C61,P61,Q61,$E$5)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61" t="str">
        <f>updateString(GeneraLambda!C61,Appendice!R75,Appendice!U61)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61" t="str">
        <f>deletestring(GeneraLambda!C61,U61)</f>
        <v>`DELETE FROM entrasp._x000D_WHERE codice_azienda=${body['codice_azienda'] AND id_procedura=${body['id_procedura']</v>
      </c>
    </row>
    <row r="62" spans="1:27" ht="17.25" customHeight="1" x14ac:dyDescent="0.25">
      <c r="A62">
        <f>GeneraLambda!D62</f>
        <v>0</v>
      </c>
      <c r="B62" t="s">
        <v>84</v>
      </c>
      <c r="E62">
        <f>GeneraLambda!D62</f>
        <v>0</v>
      </c>
      <c r="G62" t="s">
        <v>85</v>
      </c>
      <c r="H62" t="s">
        <v>87</v>
      </c>
      <c r="I62" t="s">
        <v>87</v>
      </c>
      <c r="J62" t="s">
        <v>85</v>
      </c>
      <c r="K62" t="s">
        <v>85</v>
      </c>
      <c r="L62" t="s">
        <v>85</v>
      </c>
      <c r="M62">
        <f>GeneraLambda!H62</f>
        <v>0</v>
      </c>
      <c r="O62" s="2"/>
      <c r="P62" s="2" t="str">
        <f>IF(K62="true",P61, P61&amp;", "&amp;campo(A62,K62))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</v>
      </c>
      <c r="Q62" s="2" t="str">
        <f>IF(K62="true",Q61,Q61&amp;", "&amp;vincolo(A62,K62,M62))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62" s="6" t="str">
        <f>IF(K62="true",R61,R61&amp;", "&amp;campo(A62,K62)&amp;"="&amp;vincolo(A62,K62,M62))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62" s="6" t="str">
        <f>IF(L62="false","",(pk(A62,L62)))</f>
        <v/>
      </c>
      <c r="T62" s="6" t="str">
        <f>IF(L62="false","",(pk_cond(E62,M62,L62)))</f>
        <v/>
      </c>
      <c r="U62" s="6" t="str">
        <f t="shared" si="1"/>
        <v>codice_azienda=${body['codice_azienda'] AND id_procedura=${body['id_procedura']</v>
      </c>
      <c r="V62" s="2"/>
      <c r="W62" s="2"/>
      <c r="X62" s="2"/>
      <c r="Y62" t="str">
        <f>insertString(Appendice!C62,P62,Q62,$E$5)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62" t="str">
        <f>updateString(GeneraLambda!C62,Appendice!R76,Appendice!U62)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62" t="str">
        <f>deletestring(GeneraLambda!C62,U62)</f>
        <v>`DELETE FROM entrasp._x000D_WHERE codice_azienda=${body['codice_azienda'] AND id_procedura=${body['id_procedura']</v>
      </c>
    </row>
    <row r="63" spans="1:27" ht="17.25" customHeight="1" x14ac:dyDescent="0.25">
      <c r="A63">
        <f>GeneraLambda!D63</f>
        <v>0</v>
      </c>
      <c r="B63" t="s">
        <v>84</v>
      </c>
      <c r="E63">
        <f>GeneraLambda!D63</f>
        <v>0</v>
      </c>
      <c r="G63" t="s">
        <v>85</v>
      </c>
      <c r="H63" t="s">
        <v>87</v>
      </c>
      <c r="I63" t="s">
        <v>87</v>
      </c>
      <c r="J63" t="s">
        <v>85</v>
      </c>
      <c r="K63" t="s">
        <v>85</v>
      </c>
      <c r="L63" t="s">
        <v>85</v>
      </c>
      <c r="M63">
        <f>GeneraLambda!H63</f>
        <v>0</v>
      </c>
      <c r="O63" s="2"/>
      <c r="P63" s="2" t="str">
        <f>IF(K63="true",P62, P62&amp;", "&amp;campo(A63,K63))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</v>
      </c>
      <c r="Q63" s="2" t="str">
        <f>IF(K63="true",Q62,Q62&amp;", "&amp;vincolo(A63,K63,M63))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63" s="6" t="str">
        <f>IF(K63="true",R62,R62&amp;", "&amp;campo(A63,K63)&amp;"="&amp;vincolo(A63,K63,M63))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63" s="6" t="str">
        <f>IF(L63="false","",(pk(A63,L63)))</f>
        <v/>
      </c>
      <c r="T63" s="6" t="str">
        <f>IF(L63="false","",(pk_cond(E63,M63,L63)))</f>
        <v/>
      </c>
      <c r="U63" s="6" t="str">
        <f t="shared" si="1"/>
        <v>codice_azienda=${body['codice_azienda'] AND id_procedura=${body['id_procedura']</v>
      </c>
      <c r="V63" s="2"/>
      <c r="W63" s="2"/>
      <c r="X63" s="2"/>
      <c r="Y63" t="str">
        <f>insertString(Appendice!C63,P63,Q63,$E$5)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63" t="str">
        <f>updateString(GeneraLambda!C63,Appendice!R77,Appendice!U63)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63" t="str">
        <f>deletestring(GeneraLambda!C63,U63)</f>
        <v>`DELETE FROM entrasp._x000D_WHERE codice_azienda=${body['codice_azienda'] AND id_procedura=${body['id_procedura']</v>
      </c>
    </row>
    <row r="64" spans="1:27" ht="17.25" customHeight="1" x14ac:dyDescent="0.25">
      <c r="A64">
        <f>GeneraLambda!D64</f>
        <v>0</v>
      </c>
      <c r="B64" t="s">
        <v>84</v>
      </c>
      <c r="E64">
        <f>GeneraLambda!D64</f>
        <v>0</v>
      </c>
      <c r="G64" t="s">
        <v>85</v>
      </c>
      <c r="H64" t="s">
        <v>87</v>
      </c>
      <c r="I64" t="s">
        <v>87</v>
      </c>
      <c r="J64" t="s">
        <v>85</v>
      </c>
      <c r="K64" t="s">
        <v>85</v>
      </c>
      <c r="L64" t="s">
        <v>85</v>
      </c>
      <c r="M64">
        <f>GeneraLambda!H64</f>
        <v>0</v>
      </c>
      <c r="O64" s="2"/>
      <c r="P64" s="2" t="str">
        <f>IF(K64="true",P63, P63&amp;", "&amp;campo(A64,K64))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</v>
      </c>
      <c r="Q64" s="2" t="str">
        <f>IF(K64="true",Q63,Q63&amp;", "&amp;vincolo(A64,K64,M64))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64" s="6" t="str">
        <f>IF(K64="true",R63,R63&amp;", "&amp;campo(A64,K64)&amp;"="&amp;vincolo(A64,K64,M64))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64" s="6" t="str">
        <f>IF(L64="false","",(pk(A64,L64)))</f>
        <v/>
      </c>
      <c r="T64" s="6" t="str">
        <f>IF(L64="false","",(pk_cond(E64,M64,L64)))</f>
        <v/>
      </c>
      <c r="U64" s="6" t="str">
        <f t="shared" si="1"/>
        <v>codice_azienda=${body['codice_azienda'] AND id_procedura=${body['id_procedura']</v>
      </c>
      <c r="V64" s="2"/>
      <c r="W64" s="2"/>
      <c r="X64" s="2"/>
      <c r="Y64" t="str">
        <f>insertString(Appendice!C64,P64,Q64,$E$5)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64" t="str">
        <f>updateString(GeneraLambda!C64,Appendice!R78,Appendice!U64)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64" t="str">
        <f>deletestring(GeneraLambda!C64,U64)</f>
        <v>`DELETE FROM entrasp._x000D_WHERE codice_azienda=${body['codice_azienda'] AND id_procedura=${body['id_procedura']</v>
      </c>
    </row>
    <row r="65" spans="1:27" ht="17.25" customHeight="1" x14ac:dyDescent="0.25">
      <c r="A65">
        <f>GeneraLambda!D65</f>
        <v>0</v>
      </c>
      <c r="B65" t="s">
        <v>84</v>
      </c>
      <c r="E65">
        <f>GeneraLambda!D65</f>
        <v>0</v>
      </c>
      <c r="G65" t="s">
        <v>85</v>
      </c>
      <c r="H65" t="s">
        <v>87</v>
      </c>
      <c r="I65" t="s">
        <v>87</v>
      </c>
      <c r="J65" t="s">
        <v>85</v>
      </c>
      <c r="K65" t="s">
        <v>85</v>
      </c>
      <c r="L65" t="s">
        <v>85</v>
      </c>
      <c r="M65">
        <f>GeneraLambda!H65</f>
        <v>0</v>
      </c>
      <c r="O65" s="2"/>
      <c r="P65" s="2" t="str">
        <f>IF(K65="true",P64, P64&amp;", "&amp;campo(A65,K65))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</v>
      </c>
      <c r="Q65" s="2" t="str">
        <f>IF(K65="true",Q64,Q64&amp;", "&amp;vincolo(A65,K65,M65))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65" s="6" t="str">
        <f>IF(K65="true",R64,R64&amp;", "&amp;campo(A65,K65)&amp;"="&amp;vincolo(A65,K65,M65))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65" s="6" t="str">
        <f>IF(L65="false","",(pk(A65,L65)))</f>
        <v/>
      </c>
      <c r="T65" s="6" t="str">
        <f>IF(L65="false","",(pk_cond(E65,M65,L65)))</f>
        <v/>
      </c>
      <c r="U65" s="6" t="str">
        <f t="shared" si="1"/>
        <v>codice_azienda=${body['codice_azienda'] AND id_procedura=${body['id_procedura']</v>
      </c>
      <c r="V65" s="2"/>
      <c r="W65" s="2"/>
      <c r="X65" s="2"/>
      <c r="Y65" t="str">
        <f>insertString(Appendice!C65,P65,Q65,$E$5)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65" t="str">
        <f>updateString(GeneraLambda!C65,Appendice!R79,Appendice!U65)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65" t="str">
        <f>deletestring(GeneraLambda!C65,U65)</f>
        <v>`DELETE FROM entrasp._x000D_WHERE codice_azienda=${body['codice_azienda'] AND id_procedura=${body['id_procedura']</v>
      </c>
    </row>
    <row r="66" spans="1:27" ht="17.25" customHeight="1" x14ac:dyDescent="0.25">
      <c r="A66">
        <f>GeneraLambda!D66</f>
        <v>0</v>
      </c>
      <c r="B66" t="s">
        <v>84</v>
      </c>
      <c r="E66">
        <f>GeneraLambda!D66</f>
        <v>0</v>
      </c>
      <c r="G66" t="s">
        <v>85</v>
      </c>
      <c r="H66" t="s">
        <v>87</v>
      </c>
      <c r="I66" t="s">
        <v>87</v>
      </c>
      <c r="J66" t="s">
        <v>85</v>
      </c>
      <c r="K66" t="s">
        <v>85</v>
      </c>
      <c r="L66" t="s">
        <v>85</v>
      </c>
      <c r="M66">
        <f>GeneraLambda!H66</f>
        <v>0</v>
      </c>
      <c r="O66" s="2"/>
      <c r="P66" s="2" t="str">
        <f>IF(K66="true",P65, P65&amp;", "&amp;campo(A66,K66))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</v>
      </c>
      <c r="Q66" s="2" t="str">
        <f>IF(K66="true",Q65,Q65&amp;", "&amp;vincolo(A66,K66,M66))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66" s="6" t="str">
        <f>IF(K66="true",R65,R65&amp;", "&amp;campo(A66,K66)&amp;"="&amp;vincolo(A66,K66,M66))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66" s="6" t="str">
        <f>IF(L66="false","",(pk(A66,L66)))</f>
        <v/>
      </c>
      <c r="T66" s="6" t="str">
        <f>IF(L66="false","",(pk_cond(E66,M66,L66)))</f>
        <v/>
      </c>
      <c r="U66" s="6" t="str">
        <f t="shared" si="1"/>
        <v>codice_azienda=${body['codice_azienda'] AND id_procedura=${body['id_procedura']</v>
      </c>
      <c r="V66" s="2"/>
      <c r="W66" s="2"/>
      <c r="X66" s="2"/>
      <c r="Y66" t="str">
        <f>insertString(Appendice!C66,P66,Q66,$E$5)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66" t="str">
        <f>updateString(GeneraLambda!C66,Appendice!R80,Appendice!U66)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66" t="str">
        <f>deletestring(GeneraLambda!C66,U66)</f>
        <v>`DELETE FROM entrasp._x000D_WHERE codice_azienda=${body['codice_azienda'] AND id_procedura=${body['id_procedura']</v>
      </c>
    </row>
    <row r="67" spans="1:27" ht="17.25" customHeight="1" x14ac:dyDescent="0.25">
      <c r="A67">
        <f>GeneraLambda!D67</f>
        <v>0</v>
      </c>
      <c r="B67" t="s">
        <v>84</v>
      </c>
      <c r="E67">
        <f>GeneraLambda!D67</f>
        <v>0</v>
      </c>
      <c r="G67" t="s">
        <v>85</v>
      </c>
      <c r="H67" t="s">
        <v>87</v>
      </c>
      <c r="I67" t="s">
        <v>87</v>
      </c>
      <c r="J67" t="s">
        <v>85</v>
      </c>
      <c r="K67" t="s">
        <v>85</v>
      </c>
      <c r="L67" t="s">
        <v>85</v>
      </c>
      <c r="M67">
        <f>GeneraLambda!H67</f>
        <v>0</v>
      </c>
      <c r="O67" s="2"/>
      <c r="P67" s="2" t="str">
        <f>IF(K67="true",P66, P66&amp;", "&amp;campo(A67,K67))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</v>
      </c>
      <c r="Q67" s="2" t="str">
        <f>IF(K67="true",Q66,Q66&amp;", "&amp;vincolo(A67,K67,M67))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67" s="6" t="str">
        <f>IF(K67="true",R66,R66&amp;", "&amp;campo(A67,K67)&amp;"="&amp;vincolo(A67,K67,M67))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67" s="6" t="str">
        <f>IF(L67="false","",(pk(A67,L67)))</f>
        <v/>
      </c>
      <c r="T67" s="6" t="str">
        <f>IF(L67="false","",(pk_cond(E67,M67,L67)))</f>
        <v/>
      </c>
      <c r="U67" s="6" t="str">
        <f t="shared" si="1"/>
        <v>codice_azienda=${body['codice_azienda'] AND id_procedura=${body['id_procedura']</v>
      </c>
      <c r="V67" s="2"/>
      <c r="W67" s="2"/>
      <c r="X67" s="2"/>
      <c r="Y67" t="str">
        <f>insertString(Appendice!C67,P67,Q67,$E$5)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67" t="str">
        <f>updateString(GeneraLambda!C67,Appendice!R81,Appendice!U67)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67" t="str">
        <f>deletestring(GeneraLambda!C67,U67)</f>
        <v>`DELETE FROM entrasp._x000D_WHERE codice_azienda=${body['codice_azienda'] AND id_procedura=${body['id_procedura']</v>
      </c>
    </row>
    <row r="68" spans="1:27" ht="17.25" customHeight="1" x14ac:dyDescent="0.25">
      <c r="A68">
        <f>GeneraLambda!D68</f>
        <v>0</v>
      </c>
      <c r="B68" t="s">
        <v>84</v>
      </c>
      <c r="E68">
        <f>GeneraLambda!D68</f>
        <v>0</v>
      </c>
      <c r="G68" t="s">
        <v>85</v>
      </c>
      <c r="H68" t="s">
        <v>87</v>
      </c>
      <c r="I68" t="s">
        <v>87</v>
      </c>
      <c r="J68" t="s">
        <v>85</v>
      </c>
      <c r="K68" t="s">
        <v>85</v>
      </c>
      <c r="L68" t="s">
        <v>85</v>
      </c>
      <c r="M68">
        <f>GeneraLambda!H68</f>
        <v>0</v>
      </c>
      <c r="O68" s="2"/>
      <c r="P68" s="2" t="str">
        <f>IF(K68="true",P67, P67&amp;", "&amp;campo(A68,K68))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</v>
      </c>
      <c r="Q68" s="2" t="str">
        <f>IF(K68="true",Q67,Q67&amp;", "&amp;vincolo(A68,K68,M68))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68" s="6" t="str">
        <f>IF(K68="true",R67,R67&amp;", "&amp;campo(A68,K68)&amp;"="&amp;vincolo(A68,K68,M68))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68" s="6" t="str">
        <f>IF(L68="false","",(pk(A68,L68)))</f>
        <v/>
      </c>
      <c r="T68" s="6" t="str">
        <f>IF(L68="false","",(pk_cond(E68,M68,L68)))</f>
        <v/>
      </c>
      <c r="U68" s="6" t="str">
        <f t="shared" ref="U68:U82" si="2">IF(L68="false",U67, U67 &amp;" AND "&amp;S68&amp;"="&amp;T68)</f>
        <v>codice_azienda=${body['codice_azienda'] AND id_procedura=${body['id_procedura']</v>
      </c>
      <c r="V68" s="2"/>
      <c r="W68" s="2"/>
      <c r="X68" s="2"/>
      <c r="Y68" t="str">
        <f>insertString(Appendice!C68,P68,Q68,$E$5)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68" t="str">
        <f>updateString(GeneraLambda!C68,Appendice!R82,Appendice!U68)</f>
        <v>`Update entrasp._x000D_SET 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0=${body['0']_x000D_WHERE codice_azienda=${body['codice_azienda'] AND id_procedura=${body['id_procedura'];`</v>
      </c>
      <c r="AA68" t="str">
        <f>deletestring(GeneraLambda!C68,U68)</f>
        <v>`DELETE FROM entrasp._x000D_WHERE codice_azienda=${body['codice_azienda'] AND id_procedura=${body['id_procedura']</v>
      </c>
    </row>
    <row r="69" spans="1:27" ht="17.25" customHeight="1" x14ac:dyDescent="0.25">
      <c r="A69">
        <f>GeneraLambda!D69</f>
        <v>0</v>
      </c>
      <c r="B69" t="s">
        <v>84</v>
      </c>
      <c r="E69">
        <f>GeneraLambda!D69</f>
        <v>0</v>
      </c>
      <c r="G69" t="s">
        <v>85</v>
      </c>
      <c r="H69" t="s">
        <v>87</v>
      </c>
      <c r="I69" t="s">
        <v>87</v>
      </c>
      <c r="J69" t="s">
        <v>85</v>
      </c>
      <c r="K69" t="s">
        <v>85</v>
      </c>
      <c r="L69" t="s">
        <v>85</v>
      </c>
      <c r="M69">
        <f>GeneraLambda!H69</f>
        <v>0</v>
      </c>
      <c r="O69" s="2"/>
      <c r="P69" s="2" t="str">
        <f>IF(K69="true",P68, P68&amp;", "&amp;campo(A69,K69))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</v>
      </c>
      <c r="Q69" s="2" t="str">
        <f>IF(K69="true",Q68,Q68&amp;", "&amp;vincolo(A69,K69,M69))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69" s="6" t="str">
        <f>IF(K69="true",R68,R68&amp;", "&amp;campo(A69,K69)&amp;"="&amp;vincolo(A69,K69,M69))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69" s="6" t="str">
        <f>IF(L69="false","",(pk(A69,L69)))</f>
        <v/>
      </c>
      <c r="T69" s="6" t="str">
        <f>IF(L69="false","",(pk_cond(E69,M69,L69)))</f>
        <v/>
      </c>
      <c r="U69" s="6" t="str">
        <f t="shared" si="2"/>
        <v>codice_azienda=${body['codice_azienda'] AND id_procedura=${body['id_procedura']</v>
      </c>
      <c r="V69" s="2"/>
      <c r="W69" s="2"/>
      <c r="X69" s="2"/>
      <c r="Y69" t="str">
        <f>insertString(Appendice!C69,P69,Q69,$E$5)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69" t="str">
        <f>updateString(GeneraLambda!C69,Appendice!R83,Appendice!U69)</f>
        <v>`Update entrasp._x000D_SET _x000D_WHERE codice_azienda=${body['codice_azienda'] AND id_procedura=${body['id_procedura'];`</v>
      </c>
      <c r="AA69" t="str">
        <f>deletestring(GeneraLambda!C69,U69)</f>
        <v>`DELETE FROM entrasp._x000D_WHERE codice_azienda=${body['codice_azienda'] AND id_procedura=${body['id_procedura']</v>
      </c>
    </row>
    <row r="70" spans="1:27" ht="17.25" customHeight="1" x14ac:dyDescent="0.25">
      <c r="A70">
        <f>GeneraLambda!D70</f>
        <v>0</v>
      </c>
      <c r="B70" t="s">
        <v>84</v>
      </c>
      <c r="E70">
        <f>GeneraLambda!D70</f>
        <v>0</v>
      </c>
      <c r="G70" t="s">
        <v>85</v>
      </c>
      <c r="H70" t="s">
        <v>87</v>
      </c>
      <c r="I70" t="s">
        <v>87</v>
      </c>
      <c r="J70" t="s">
        <v>85</v>
      </c>
      <c r="K70" t="s">
        <v>85</v>
      </c>
      <c r="L70" t="s">
        <v>85</v>
      </c>
      <c r="M70">
        <f>GeneraLambda!H70</f>
        <v>0</v>
      </c>
      <c r="O70" s="2"/>
      <c r="P70" s="2" t="str">
        <f>IF(K70="true",P69, P69&amp;", "&amp;campo(A70,K70))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</v>
      </c>
      <c r="Q70" s="2" t="str">
        <f>IF(K70="true",Q69,Q69&amp;", "&amp;vincolo(A70,K70,M70))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70" s="6" t="str">
        <f>IF(K70="true",R69,R69&amp;", "&amp;campo(A70,K70)&amp;"="&amp;vincolo(A70,K70,M70))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70" s="6" t="str">
        <f>IF(L70="false","",(pk(A70,L70)))</f>
        <v/>
      </c>
      <c r="T70" s="6" t="str">
        <f>IF(L70="false","",(pk_cond(E70,M70,L70)))</f>
        <v/>
      </c>
      <c r="U70" s="6" t="str">
        <f t="shared" si="2"/>
        <v>codice_azienda=${body['codice_azienda'] AND id_procedura=${body['id_procedura']</v>
      </c>
      <c r="V70" s="2"/>
      <c r="W70" s="2"/>
      <c r="X70" s="2"/>
      <c r="Y70" t="str">
        <f>insertString(Appendice!C70,P70,Q70,$E$5)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70" t="str">
        <f>updateString(GeneraLambda!C70,Appendice!R84,Appendice!U70)</f>
        <v>`Update entrasp._x000D_SET _x000D_WHERE codice_azienda=${body['codice_azienda'] AND id_procedura=${body['id_procedura'];`</v>
      </c>
      <c r="AA70" t="str">
        <f>deletestring(GeneraLambda!C70,U70)</f>
        <v>`DELETE FROM entrasp._x000D_WHERE codice_azienda=${body['codice_azienda'] AND id_procedura=${body['id_procedura']</v>
      </c>
    </row>
    <row r="71" spans="1:27" ht="17.25" customHeight="1" x14ac:dyDescent="0.25">
      <c r="A71">
        <f>GeneraLambda!D71</f>
        <v>0</v>
      </c>
      <c r="B71" t="s">
        <v>84</v>
      </c>
      <c r="E71">
        <f>GeneraLambda!D71</f>
        <v>0</v>
      </c>
      <c r="G71" t="s">
        <v>85</v>
      </c>
      <c r="H71" t="s">
        <v>87</v>
      </c>
      <c r="I71" t="s">
        <v>87</v>
      </c>
      <c r="J71" t="s">
        <v>85</v>
      </c>
      <c r="K71" t="s">
        <v>85</v>
      </c>
      <c r="L71" t="s">
        <v>85</v>
      </c>
      <c r="M71">
        <f>GeneraLambda!H71</f>
        <v>0</v>
      </c>
      <c r="O71" s="2"/>
      <c r="P71" s="2" t="str">
        <f>IF(K71="true",P70, P70&amp;", "&amp;campo(A71,K71))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</v>
      </c>
      <c r="Q71" s="2" t="str">
        <f>IF(K71="true",Q70,Q70&amp;", "&amp;vincolo(A71,K71,M71))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71" s="6" t="str">
        <f>IF(K71="true",R70,R70&amp;", "&amp;campo(A71,K71)&amp;"="&amp;vincolo(A71,K71,M71))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71" s="6" t="str">
        <f>IF(L71="false","",(pk(A71,L71)))</f>
        <v/>
      </c>
      <c r="T71" s="6" t="str">
        <f>IF(L71="false","",(pk_cond(E71,M71,L71)))</f>
        <v/>
      </c>
      <c r="U71" s="6" t="str">
        <f t="shared" si="2"/>
        <v>codice_azienda=${body['codice_azienda'] AND id_procedura=${body['id_procedura']</v>
      </c>
      <c r="V71" s="2"/>
      <c r="W71" s="2"/>
      <c r="X71" s="2"/>
      <c r="Y71" t="str">
        <f>insertString(Appendice!C71,P71,Q71,$E$5)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71" t="str">
        <f>updateString(GeneraLambda!C71,Appendice!R85,Appendice!U71)</f>
        <v>`Update entrasp._x000D_SET _x000D_WHERE codice_azienda=${body['codice_azienda'] AND id_procedura=${body['id_procedura'];`</v>
      </c>
      <c r="AA71" t="str">
        <f>deletestring(GeneraLambda!C71,U71)</f>
        <v>`DELETE FROM entrasp._x000D_WHERE codice_azienda=${body['codice_azienda'] AND id_procedura=${body['id_procedura']</v>
      </c>
    </row>
    <row r="72" spans="1:27" ht="17.25" customHeight="1" x14ac:dyDescent="0.25">
      <c r="A72">
        <f>GeneraLambda!D72</f>
        <v>0</v>
      </c>
      <c r="B72" t="s">
        <v>84</v>
      </c>
      <c r="E72">
        <f>GeneraLambda!D72</f>
        <v>0</v>
      </c>
      <c r="G72" t="s">
        <v>85</v>
      </c>
      <c r="H72" t="s">
        <v>87</v>
      </c>
      <c r="I72" t="s">
        <v>87</v>
      </c>
      <c r="J72" t="s">
        <v>85</v>
      </c>
      <c r="K72" t="s">
        <v>85</v>
      </c>
      <c r="L72" t="s">
        <v>85</v>
      </c>
      <c r="M72">
        <f>GeneraLambda!H72</f>
        <v>0</v>
      </c>
      <c r="O72" s="2"/>
      <c r="P72" s="2" t="str">
        <f>IF(K72="true",P71, P71&amp;", "&amp;campo(A72,K72))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</v>
      </c>
      <c r="Q72" s="2" t="str">
        <f>IF(K72="true",Q71,Q71&amp;", "&amp;vincolo(A72,K72,M72))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72" s="6" t="str">
        <f>IF(K72="true",R71,R71&amp;", "&amp;campo(A72,K72)&amp;"="&amp;vincolo(A72,K72,M72))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72" s="6" t="str">
        <f>IF(L72="false","",(pk(A72,L72)))</f>
        <v/>
      </c>
      <c r="T72" s="6" t="str">
        <f>IF(L72="false","",(pk_cond(E72,M72,L72)))</f>
        <v/>
      </c>
      <c r="U72" s="6" t="str">
        <f t="shared" si="2"/>
        <v>codice_azienda=${body['codice_azienda'] AND id_procedura=${body['id_procedura']</v>
      </c>
      <c r="V72" s="2"/>
      <c r="W72" s="2"/>
      <c r="X72" s="2"/>
      <c r="Y72" t="str">
        <f>insertString(Appendice!C72,P72,Q72,$E$5)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72" t="str">
        <f>updateString(GeneraLambda!C72,Appendice!R86,Appendice!U72)</f>
        <v>`Update entrasp._x000D_SET _x000D_WHERE codice_azienda=${body['codice_azienda'] AND id_procedura=${body['id_procedura'];`</v>
      </c>
      <c r="AA72" t="str">
        <f>deletestring(GeneraLambda!C72,U72)</f>
        <v>`DELETE FROM entrasp._x000D_WHERE codice_azienda=${body['codice_azienda'] AND id_procedura=${body['id_procedura']</v>
      </c>
    </row>
    <row r="73" spans="1:27" ht="17.25" customHeight="1" x14ac:dyDescent="0.25">
      <c r="A73">
        <f>GeneraLambda!D73</f>
        <v>0</v>
      </c>
      <c r="B73" t="s">
        <v>84</v>
      </c>
      <c r="E73">
        <f>GeneraLambda!D73</f>
        <v>0</v>
      </c>
      <c r="G73" t="s">
        <v>85</v>
      </c>
      <c r="H73" t="s">
        <v>87</v>
      </c>
      <c r="I73" t="s">
        <v>87</v>
      </c>
      <c r="J73" t="s">
        <v>85</v>
      </c>
      <c r="K73" t="s">
        <v>85</v>
      </c>
      <c r="L73" t="s">
        <v>85</v>
      </c>
      <c r="M73">
        <f>GeneraLambda!H73</f>
        <v>0</v>
      </c>
      <c r="O73" s="2"/>
      <c r="P73" s="2" t="str">
        <f>IF(K73="true",P72, P72&amp;", "&amp;campo(A73,K73))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0, 0</v>
      </c>
      <c r="Q73" s="2" t="str">
        <f>IF(K73="true",Q72,Q72&amp;", "&amp;vincolo(A73,K73,M73))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73" s="6" t="str">
        <f>IF(K73="true",R72,R72&amp;", "&amp;campo(A73,K73)&amp;"="&amp;vincolo(A73,K73,M73))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73" s="6" t="str">
        <f>IF(L73="false","",(pk(A73,L73)))</f>
        <v/>
      </c>
      <c r="T73" s="6" t="str">
        <f>IF(L73="false","",(pk_cond(E73,M73,L73)))</f>
        <v/>
      </c>
      <c r="U73" s="6" t="str">
        <f t="shared" si="2"/>
        <v>codice_azienda=${body['codice_azienda'] AND id_procedura=${body['id_procedura']</v>
      </c>
      <c r="V73" s="2"/>
      <c r="W73" s="2"/>
      <c r="X73" s="2"/>
      <c r="Y73" t="str">
        <f>insertString(Appendice!C73,P73,Q73,$E$5)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73" t="str">
        <f>updateString(GeneraLambda!C73,Appendice!R87,Appendice!U73)</f>
        <v>`Update entrasp._x000D_SET _x000D_WHERE codice_azienda=${body['codice_azienda'] AND id_procedura=${body['id_procedura'];`</v>
      </c>
      <c r="AA73" t="str">
        <f>deletestring(GeneraLambda!C73,U73)</f>
        <v>`DELETE FROM entrasp._x000D_WHERE codice_azienda=${body['codice_azienda'] AND id_procedura=${body['id_procedura']</v>
      </c>
    </row>
    <row r="74" spans="1:27" ht="17.25" customHeight="1" x14ac:dyDescent="0.25">
      <c r="A74">
        <f>GeneraLambda!D74</f>
        <v>0</v>
      </c>
      <c r="B74" t="s">
        <v>84</v>
      </c>
      <c r="E74">
        <f>GeneraLambda!D74</f>
        <v>0</v>
      </c>
      <c r="G74" t="s">
        <v>85</v>
      </c>
      <c r="H74" t="s">
        <v>87</v>
      </c>
      <c r="I74" t="s">
        <v>87</v>
      </c>
      <c r="J74" t="s">
        <v>85</v>
      </c>
      <c r="K74" t="s">
        <v>85</v>
      </c>
      <c r="L74" t="s">
        <v>85</v>
      </c>
      <c r="M74">
        <f>GeneraLambda!H74</f>
        <v>0</v>
      </c>
      <c r="O74" s="2"/>
      <c r="P74" s="2" t="str">
        <f>IF(K74="true",P73, P73&amp;", "&amp;campo(A74,K74))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0, 0, 0</v>
      </c>
      <c r="Q74" s="2" t="str">
        <f>IF(K74="true",Q73,Q73&amp;", "&amp;vincolo(A74,K74,M74))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74" s="6" t="str">
        <f>IF(K74="true",R73,R73&amp;", "&amp;campo(A74,K74)&amp;"="&amp;vincolo(A74,K74,M74))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74" s="6" t="str">
        <f>IF(L74="false","",(pk(A74,L74)))</f>
        <v/>
      </c>
      <c r="T74" s="6" t="str">
        <f>IF(L74="false","",(pk_cond(E74,M74,L74)))</f>
        <v/>
      </c>
      <c r="U74" s="6" t="str">
        <f t="shared" si="2"/>
        <v>codice_azienda=${body['codice_azienda'] AND id_procedura=${body['id_procedura']</v>
      </c>
      <c r="V74" s="2"/>
      <c r="W74" s="2"/>
      <c r="X74" s="2"/>
      <c r="Y74" t="str">
        <f>insertString(Appendice!C74,P74,Q74,$E$5)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74" t="str">
        <f>updateString(GeneraLambda!C74,Appendice!R88,Appendice!U74)</f>
        <v>`Update entrasp._x000D_SET _x000D_WHERE codice_azienda=${body['codice_azienda'] AND id_procedura=${body['id_procedura'];`</v>
      </c>
      <c r="AA74" t="str">
        <f>deletestring(GeneraLambda!C74,U74)</f>
        <v>`DELETE FROM entrasp._x000D_WHERE codice_azienda=${body['codice_azienda'] AND id_procedura=${body['id_procedura']</v>
      </c>
    </row>
    <row r="75" spans="1:27" ht="17.25" customHeight="1" x14ac:dyDescent="0.25">
      <c r="A75">
        <f>GeneraLambda!D75</f>
        <v>0</v>
      </c>
      <c r="B75" t="s">
        <v>84</v>
      </c>
      <c r="E75">
        <f>GeneraLambda!D75</f>
        <v>0</v>
      </c>
      <c r="G75" t="s">
        <v>85</v>
      </c>
      <c r="H75" t="s">
        <v>87</v>
      </c>
      <c r="I75" t="s">
        <v>87</v>
      </c>
      <c r="J75" t="s">
        <v>85</v>
      </c>
      <c r="K75" t="s">
        <v>85</v>
      </c>
      <c r="L75" t="s">
        <v>85</v>
      </c>
      <c r="M75">
        <f>GeneraLambda!H75</f>
        <v>0</v>
      </c>
      <c r="O75" s="2"/>
      <c r="P75" s="2" t="str">
        <f>IF(K75="true",P74, P74&amp;", "&amp;campo(A75,K75))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0, 0, 0, 0</v>
      </c>
      <c r="Q75" s="2" t="str">
        <f>IF(K75="true",Q74,Q74&amp;", "&amp;vincolo(A75,K75,M75))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75" s="6" t="str">
        <f>IF(K75="true",R74,R74&amp;", "&amp;campo(A75,K75)&amp;"="&amp;vincolo(A75,K75,M75))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75" s="6" t="str">
        <f>IF(L75="false","",(pk(A75,L75)))</f>
        <v/>
      </c>
      <c r="T75" s="6" t="str">
        <f>IF(L75="false","",(pk_cond(E75,M75,L75)))</f>
        <v/>
      </c>
      <c r="U75" s="6" t="str">
        <f t="shared" si="2"/>
        <v>codice_azienda=${body['codice_azienda'] AND id_procedura=${body['id_procedura']</v>
      </c>
      <c r="V75" s="2"/>
      <c r="W75" s="2"/>
      <c r="X75" s="2"/>
      <c r="Y75" t="str">
        <f>insertString(Appendice!C75,P75,Q75,$E$5)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75" t="str">
        <f>updateString(GeneraLambda!C75,Appendice!R89,Appendice!U75)</f>
        <v>`Update entrasp._x000D_SET _x000D_WHERE codice_azienda=${body['codice_azienda'] AND id_procedura=${body['id_procedura'];`</v>
      </c>
      <c r="AA75" t="str">
        <f>deletestring(GeneraLambda!C75,U75)</f>
        <v>`DELETE FROM entrasp._x000D_WHERE codice_azienda=${body['codice_azienda'] AND id_procedura=${body['id_procedura']</v>
      </c>
    </row>
    <row r="76" spans="1:27" ht="17.25" customHeight="1" x14ac:dyDescent="0.25">
      <c r="A76">
        <f>GeneraLambda!D76</f>
        <v>0</v>
      </c>
      <c r="B76" t="s">
        <v>84</v>
      </c>
      <c r="E76">
        <f>GeneraLambda!D76</f>
        <v>0</v>
      </c>
      <c r="G76" t="s">
        <v>85</v>
      </c>
      <c r="H76" t="s">
        <v>87</v>
      </c>
      <c r="I76" t="s">
        <v>87</v>
      </c>
      <c r="J76" t="s">
        <v>85</v>
      </c>
      <c r="K76" t="s">
        <v>85</v>
      </c>
      <c r="L76" t="s">
        <v>85</v>
      </c>
      <c r="M76">
        <f>GeneraLambda!H76</f>
        <v>0</v>
      </c>
      <c r="O76" s="2"/>
      <c r="P76" s="2" t="str">
        <f>IF(K76="true",P75, P75&amp;", "&amp;campo(A76,K76))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0, 0, 0, 0, 0</v>
      </c>
      <c r="Q76" s="2" t="str">
        <f>IF(K76="true",Q75,Q75&amp;", "&amp;vincolo(A76,K76,M76))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76" s="6" t="str">
        <f>IF(K76="true",R75,R75&amp;", "&amp;campo(A76,K76)&amp;"="&amp;vincolo(A76,K76,M76))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76" s="6" t="str">
        <f>IF(L76="false","",(pk(A76,L76)))</f>
        <v/>
      </c>
      <c r="T76" s="6" t="str">
        <f>IF(L76="false","",(pk_cond(E76,M76,L76)))</f>
        <v/>
      </c>
      <c r="U76" s="6" t="str">
        <f t="shared" si="2"/>
        <v>codice_azienda=${body['codice_azienda'] AND id_procedura=${body['id_procedura']</v>
      </c>
      <c r="V76" s="2"/>
      <c r="W76" s="2"/>
      <c r="X76" s="2"/>
      <c r="Y76" t="str">
        <f>insertString(Appendice!C76,P76,Q76,$E$5)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76" t="str">
        <f>updateString(GeneraLambda!C76,Appendice!R90,Appendice!U76)</f>
        <v>`Update entrasp._x000D_SET _x000D_WHERE codice_azienda=${body['codice_azienda'] AND id_procedura=${body['id_procedura'];`</v>
      </c>
      <c r="AA76" t="str">
        <f>deletestring(GeneraLambda!C76,U76)</f>
        <v>`DELETE FROM entrasp._x000D_WHERE codice_azienda=${body['codice_azienda'] AND id_procedura=${body['id_procedura']</v>
      </c>
    </row>
    <row r="77" spans="1:27" ht="17.25" customHeight="1" x14ac:dyDescent="0.25">
      <c r="A77">
        <f>GeneraLambda!D77</f>
        <v>0</v>
      </c>
      <c r="B77" t="s">
        <v>84</v>
      </c>
      <c r="E77">
        <f>GeneraLambda!D77</f>
        <v>0</v>
      </c>
      <c r="G77" t="s">
        <v>85</v>
      </c>
      <c r="H77" t="s">
        <v>87</v>
      </c>
      <c r="I77" t="s">
        <v>87</v>
      </c>
      <c r="J77" t="s">
        <v>85</v>
      </c>
      <c r="K77" t="s">
        <v>85</v>
      </c>
      <c r="L77" t="s">
        <v>85</v>
      </c>
      <c r="M77">
        <f>GeneraLambda!H77</f>
        <v>0</v>
      </c>
      <c r="O77" s="2"/>
      <c r="P77" s="2" t="str">
        <f>IF(K77="true",P76, P76&amp;", "&amp;campo(A77,K77))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0, 0, 0, 0, 0, 0</v>
      </c>
      <c r="Q77" s="2" t="str">
        <f>IF(K77="true",Q76,Q76&amp;", "&amp;vincolo(A77,K77,M77))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77" s="6" t="str">
        <f>IF(K77="true",R76,R76&amp;", "&amp;campo(A77,K77)&amp;"="&amp;vincolo(A77,K77,M77))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77" s="6" t="str">
        <f>IF(L77="false","",(pk(A77,L77)))</f>
        <v/>
      </c>
      <c r="T77" s="6" t="str">
        <f>IF(L77="false","",(pk_cond(E77,M77,L77)))</f>
        <v/>
      </c>
      <c r="U77" s="6" t="str">
        <f t="shared" si="2"/>
        <v>codice_azienda=${body['codice_azienda'] AND id_procedura=${body['id_procedura']</v>
      </c>
      <c r="V77" s="2"/>
      <c r="W77" s="2"/>
      <c r="X77" s="2"/>
      <c r="Y77" t="str">
        <f>insertString(Appendice!C77,P77,Q77,$E$5)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77" t="str">
        <f>updateString(GeneraLambda!C77,Appendice!R91,Appendice!U77)</f>
        <v>`Update entrasp._x000D_SET _x000D_WHERE codice_azienda=${body['codice_azienda'] AND id_procedura=${body['id_procedura'];`</v>
      </c>
      <c r="AA77" t="str">
        <f>deletestring(GeneraLambda!C77,U77)</f>
        <v>`DELETE FROM entrasp._x000D_WHERE codice_azienda=${body['codice_azienda'] AND id_procedura=${body['id_procedura']</v>
      </c>
    </row>
    <row r="78" spans="1:27" ht="17.25" customHeight="1" x14ac:dyDescent="0.25">
      <c r="A78">
        <f>GeneraLambda!D78</f>
        <v>0</v>
      </c>
      <c r="B78" t="s">
        <v>84</v>
      </c>
      <c r="E78">
        <f>GeneraLambda!D78</f>
        <v>0</v>
      </c>
      <c r="G78" t="s">
        <v>85</v>
      </c>
      <c r="H78" t="s">
        <v>87</v>
      </c>
      <c r="I78" t="s">
        <v>87</v>
      </c>
      <c r="J78" t="s">
        <v>85</v>
      </c>
      <c r="K78" t="s">
        <v>85</v>
      </c>
      <c r="L78" t="s">
        <v>85</v>
      </c>
      <c r="M78">
        <f>GeneraLambda!H78</f>
        <v>0</v>
      </c>
      <c r="O78" s="2"/>
      <c r="P78" s="2" t="str">
        <f>IF(K78="true",P77, P77&amp;", "&amp;campo(A78,K78))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0, 0, 0, 0, 0, 0, 0</v>
      </c>
      <c r="Q78" s="2" t="str">
        <f>IF(K78="true",Q77,Q77&amp;", "&amp;vincolo(A78,K78,M78))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78" s="6" t="str">
        <f>IF(K78="true",R77,R77&amp;", "&amp;campo(A78,K78)&amp;"="&amp;vincolo(A78,K78,M78))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78" s="6" t="str">
        <f>IF(L78="false","",(pk(A78,L78)))</f>
        <v/>
      </c>
      <c r="T78" s="6" t="str">
        <f>IF(L78="false","",(pk_cond(E78,M78,L78)))</f>
        <v/>
      </c>
      <c r="U78" s="6" t="str">
        <f t="shared" si="2"/>
        <v>codice_azienda=${body['codice_azienda'] AND id_procedura=${body['id_procedura']</v>
      </c>
      <c r="V78" s="2"/>
      <c r="W78" s="2"/>
      <c r="X78" s="2"/>
      <c r="Y78" t="str">
        <f>insertString(Appendice!C78,P78,Q78,$E$5)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78" t="str">
        <f>updateString(GeneraLambda!C78,Appendice!R92,Appendice!U78)</f>
        <v>`Update entrasp._x000D_SET _x000D_WHERE codice_azienda=${body['codice_azienda'] AND id_procedura=${body['id_procedura'];`</v>
      </c>
      <c r="AA78" t="str">
        <f>deletestring(GeneraLambda!C78,U78)</f>
        <v>`DELETE FROM entrasp._x000D_WHERE codice_azienda=${body['codice_azienda'] AND id_procedura=${body['id_procedura']</v>
      </c>
    </row>
    <row r="79" spans="1:27" ht="17.25" customHeight="1" x14ac:dyDescent="0.25">
      <c r="A79">
        <f>GeneraLambda!D79</f>
        <v>0</v>
      </c>
      <c r="B79" t="s">
        <v>84</v>
      </c>
      <c r="E79">
        <f>GeneraLambda!D79</f>
        <v>0</v>
      </c>
      <c r="G79" t="s">
        <v>85</v>
      </c>
      <c r="H79" t="s">
        <v>87</v>
      </c>
      <c r="I79" t="s">
        <v>87</v>
      </c>
      <c r="J79" t="s">
        <v>85</v>
      </c>
      <c r="K79" t="s">
        <v>85</v>
      </c>
      <c r="L79" t="s">
        <v>85</v>
      </c>
      <c r="M79">
        <f>GeneraLambda!H79</f>
        <v>0</v>
      </c>
      <c r="O79" s="2"/>
      <c r="P79" s="2" t="str">
        <f>IF(K79="true",P78, P78&amp;", "&amp;campo(A79,K79))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0, 0, 0, 0, 0, 0, 0, 0</v>
      </c>
      <c r="Q79" s="2" t="str">
        <f>IF(K79="true",Q78,Q78&amp;", "&amp;vincolo(A79,K79,M79))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79" s="6" t="str">
        <f>IF(K79="true",R78,R78&amp;", "&amp;campo(A79,K79)&amp;"="&amp;vincolo(A79,K79,M79))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79" s="6" t="str">
        <f>IF(L79="false","",(pk(A79,L79)))</f>
        <v/>
      </c>
      <c r="T79" s="6" t="str">
        <f>IF(L79="false","",(pk_cond(E79,M79,L79)))</f>
        <v/>
      </c>
      <c r="U79" s="6" t="str">
        <f t="shared" si="2"/>
        <v>codice_azienda=${body['codice_azienda'] AND id_procedura=${body['id_procedura']</v>
      </c>
      <c r="V79" s="2"/>
      <c r="W79" s="2"/>
      <c r="X79" s="2"/>
      <c r="Y79" t="str">
        <f>insertString(Appendice!C79,P79,Q79,$E$5)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79" t="str">
        <f>updateString(GeneraLambda!C79,Appendice!R93,Appendice!U79)</f>
        <v>`Update entrasp._x000D_SET _x000D_WHERE codice_azienda=${body['codice_azienda'] AND id_procedura=${body['id_procedura'];`</v>
      </c>
      <c r="AA79" t="str">
        <f>deletestring(GeneraLambda!C79,U79)</f>
        <v>`DELETE FROM entrasp._x000D_WHERE codice_azienda=${body['codice_azienda'] AND id_procedura=${body['id_procedura']</v>
      </c>
    </row>
    <row r="80" spans="1:27" ht="17.25" customHeight="1" x14ac:dyDescent="0.25">
      <c r="A80">
        <f>GeneraLambda!D80</f>
        <v>0</v>
      </c>
      <c r="B80" t="s">
        <v>84</v>
      </c>
      <c r="E80">
        <f>GeneraLambda!D80</f>
        <v>0</v>
      </c>
      <c r="G80" t="s">
        <v>85</v>
      </c>
      <c r="H80" t="s">
        <v>87</v>
      </c>
      <c r="I80" t="s">
        <v>87</v>
      </c>
      <c r="J80" t="s">
        <v>85</v>
      </c>
      <c r="K80" t="s">
        <v>85</v>
      </c>
      <c r="L80" t="s">
        <v>85</v>
      </c>
      <c r="M80">
        <f>GeneraLambda!H80</f>
        <v>0</v>
      </c>
      <c r="O80" s="2"/>
      <c r="P80" s="2" t="str">
        <f>IF(K80="true",P79, P79&amp;", "&amp;campo(A80,K80))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0, 0, 0, 0, 0, 0, 0, 0, 0</v>
      </c>
      <c r="Q80" s="2" t="str">
        <f>IF(K80="true",Q79,Q79&amp;", "&amp;vincolo(A80,K80,M80))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80" s="6" t="str">
        <f>IF(K80="true",R79,R79&amp;", "&amp;campo(A80,K80)&amp;"="&amp;vincolo(A80,K80,M80))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80" s="6" t="str">
        <f>IF(L80="false","",(pk(A80,L80)))</f>
        <v/>
      </c>
      <c r="T80" s="6" t="str">
        <f>IF(L80="false","",(pk_cond(E80,M80,L80)))</f>
        <v/>
      </c>
      <c r="U80" s="6" t="str">
        <f t="shared" si="2"/>
        <v>codice_azienda=${body['codice_azienda'] AND id_procedura=${body['id_procedura']</v>
      </c>
      <c r="V80" s="2"/>
      <c r="W80" s="2"/>
      <c r="X80" s="2"/>
      <c r="Y80" t="str">
        <f>insertString(Appendice!C80,P80,Q80,$E$5)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80" t="str">
        <f>updateString(GeneraLambda!C80,Appendice!R94,Appendice!U80)</f>
        <v>`Update entrasp._x000D_SET _x000D_WHERE codice_azienda=${body['codice_azienda'] AND id_procedura=${body['id_procedura'];`</v>
      </c>
      <c r="AA80" t="str">
        <f>deletestring(GeneraLambda!C80,U80)</f>
        <v>`DELETE FROM entrasp._x000D_WHERE codice_azienda=${body['codice_azienda'] AND id_procedura=${body['id_procedura']</v>
      </c>
    </row>
    <row r="81" spans="1:27" ht="17.25" customHeight="1" x14ac:dyDescent="0.25">
      <c r="A81">
        <f>GeneraLambda!D81</f>
        <v>0</v>
      </c>
      <c r="B81" t="s">
        <v>84</v>
      </c>
      <c r="E81">
        <f>GeneraLambda!D81</f>
        <v>0</v>
      </c>
      <c r="G81" t="s">
        <v>85</v>
      </c>
      <c r="H81" t="s">
        <v>87</v>
      </c>
      <c r="I81" t="s">
        <v>87</v>
      </c>
      <c r="J81" t="s">
        <v>85</v>
      </c>
      <c r="K81" t="s">
        <v>85</v>
      </c>
      <c r="L81" t="s">
        <v>85</v>
      </c>
      <c r="M81">
        <f>GeneraLambda!H81</f>
        <v>0</v>
      </c>
      <c r="O81" s="2"/>
      <c r="P81" s="2" t="str">
        <f>IF(K81="true",P80, P80&amp;", "&amp;campo(A81,K81))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0, 0, 0, 0, 0, 0, 0, 0, 0, 0</v>
      </c>
      <c r="Q81" s="2" t="str">
        <f>IF(K81="true",Q80,Q80&amp;", "&amp;vincolo(A81,K81,M81))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81" s="6" t="str">
        <f>IF(K81="true",R80,R80&amp;", "&amp;campo(A81,K81)&amp;"="&amp;vincolo(A81,K81,M81))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81" s="6" t="str">
        <f>IF(L81="false","",(pk(A81,L81)))</f>
        <v/>
      </c>
      <c r="T81" s="6" t="str">
        <f>IF(L81="false","",(pk_cond(E81,M81,L81)))</f>
        <v/>
      </c>
      <c r="U81" s="6" t="str">
        <f t="shared" si="2"/>
        <v>codice_azienda=${body['codice_azienda'] AND id_procedura=${body['id_procedura']</v>
      </c>
      <c r="V81" s="2"/>
      <c r="W81" s="2"/>
      <c r="X81" s="2"/>
      <c r="Y81" t="str">
        <f>insertString(Appendice!C81,P81,Q81,$E$5)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81" t="str">
        <f>updateString(GeneraLambda!C81,Appendice!R95,Appendice!U81)</f>
        <v>`Update entrasp._x000D_SET _x000D_WHERE codice_azienda=${body['codice_azienda'] AND id_procedura=${body['id_procedura'];`</v>
      </c>
      <c r="AA81" t="str">
        <f>deletestring(GeneraLambda!C81,U81)</f>
        <v>`DELETE FROM entrasp._x000D_WHERE codice_azienda=${body['codice_azienda'] AND id_procedura=${body['id_procedura']</v>
      </c>
    </row>
    <row r="82" spans="1:27" ht="17.25" customHeight="1" x14ac:dyDescent="0.25">
      <c r="A82">
        <f>GeneraLambda!D82</f>
        <v>0</v>
      </c>
      <c r="B82" t="s">
        <v>84</v>
      </c>
      <c r="E82">
        <f>GeneraLambda!D82</f>
        <v>0</v>
      </c>
      <c r="G82" t="s">
        <v>85</v>
      </c>
      <c r="H82" t="s">
        <v>87</v>
      </c>
      <c r="I82" t="s">
        <v>87</v>
      </c>
      <c r="J82" t="s">
        <v>85</v>
      </c>
      <c r="K82" t="s">
        <v>85</v>
      </c>
      <c r="L82" t="s">
        <v>85</v>
      </c>
      <c r="M82">
        <f>GeneraLambda!H82</f>
        <v>0</v>
      </c>
      <c r="O82" s="2"/>
      <c r="P82" s="2" t="str">
        <f>IF(K82="true",P81, P81&amp;", "&amp;campo(A82,K82))</f>
        <v>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0, 0, 0, 0, 0, 0, 0, 0, 0, 0, 0</v>
      </c>
      <c r="Q82" s="2" t="str">
        <f>IF(K82="true",Q81,Q81&amp;", "&amp;vincolo(A82,K82,M82))</f>
        <v>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82" s="6" t="str">
        <f>IF(K82="true",R81,R81&amp;", "&amp;campo(A82,K82)&amp;"="&amp;vincolo(A82,K82,M82))</f>
        <v>codice_azienda=${body['codice_azienda'], codice=${body['codice'], descrizione_breve=${body['descrizione_breve'], id_procedura_parent=${body[id_procedura_parent], ordinamento=${body[ordinamento], tree_path=${body['tree_path'], frequenza=${body['frequenza'], strumento_informatico=${body['strumento_informatico'], id_centro_gest=${body[id_centro_gest], codice_part=${body['codice_part'], descrizione=${body['descrizione'], tipo_procedura=${body['tipo_procedura'], stato_attuazione=${body['stato_attuazione'], id_tipo_processo=${body[id_tipo_processo],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0=${body['0'], 0=${body['0']</v>
      </c>
      <c r="S82" s="6" t="str">
        <f>IF(L82="false","",(pk(A82,L82)))</f>
        <v/>
      </c>
      <c r="T82" s="6" t="str">
        <f>IF(L82="false","",(pk_cond(E82,M82,L82)))</f>
        <v/>
      </c>
      <c r="U82" s="6" t="str">
        <f t="shared" si="2"/>
        <v>codice_azienda=${body['codice_azienda'] AND id_procedura=${body['id_procedura']</v>
      </c>
      <c r="V82" s="2"/>
      <c r="W82" s="2"/>
      <c r="X82" s="2"/>
      <c r="Y82" t="str">
        <f>insertString(Appendice!C82,P82,Q82,$E$5)</f>
        <v>`INSERT INTO entrasp._x000D_(codice_azienda, codice, descrizione_breve, id_procedura_parent, ordinamento, tree_path, frequenza, strumento_informatico, id_centro_gest, codice_part, descrizione, tipo_procedura, stato_attuazione, id_tipo_processo, 0, 0, 0, 0, 0, 0, 0, 0, 0, 0, 0, 0, 0, 0, 0, 0, 0, 0, 0, 0, 0, 0, 0, 0, 0, 0, 0, 0, 0, 0, 0, 0, 0, 0, 0, 0, 0, 0, 0, 0, 0, 0, 0, 0, 0, 0, 0, 0, 0, 0, 0, 0, 0, 0, 0, 0, 0, 0, 0, 0, 0, 0, 0, 0, 0, 0)_x000D_Values_x000D_(${body['codice_azienda'], ${body['codice'], ${body['descrizione_breve'], ${body[id_procedura_parent], ${body[ordinamento], ${body['tree_path'], ${body['frequenza'], ${body['strumento_informatico'], ${body[id_centro_gest], ${body['codice_part'], ${body['descrizione'], ${body['tipo_procedura'], ${body['stato_attuazione'], ${body[id_tipo_processo],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id_procedura;`</v>
      </c>
      <c r="Z82" t="str">
        <f>updateString(GeneraLambda!C82,Appendice!R96,Appendice!U82)</f>
        <v>`Update entrasp._x000D_SET _x000D_WHERE codice_azienda=${body['codice_azienda'] AND id_procedura=${body['id_procedura'];`</v>
      </c>
      <c r="AA82" t="str">
        <f>deletestring(GeneraLambda!C82,U82)</f>
        <v>`DELETE FROM entrasp._x000D_WHERE codice_azienda=${body['codice_azienda'] AND id_procedura=${body['id_procedura']</v>
      </c>
    </row>
    <row r="83" spans="1:27" ht="17.25" customHeight="1" x14ac:dyDescent="0.25">
      <c r="O83" s="2"/>
      <c r="P83" s="2"/>
      <c r="Q83" s="2"/>
      <c r="R83" s="2"/>
      <c r="S83" s="2"/>
      <c r="T83" s="2"/>
      <c r="U83" s="2"/>
      <c r="V83" s="2"/>
      <c r="W83" s="2"/>
      <c r="X83" s="2"/>
    </row>
    <row r="84" spans="1:27" ht="17.25" customHeight="1" x14ac:dyDescent="0.25">
      <c r="O84" s="2"/>
      <c r="P84" s="2"/>
      <c r="Q84" s="2"/>
      <c r="R84" s="2"/>
      <c r="S84" s="2"/>
      <c r="T84" s="2"/>
      <c r="U84" s="2"/>
      <c r="V84" s="2"/>
      <c r="W84" s="2"/>
      <c r="X84" s="2"/>
    </row>
    <row r="85" spans="1:27" ht="17.25" customHeight="1" x14ac:dyDescent="0.25">
      <c r="O85" s="2"/>
      <c r="P85" s="2"/>
      <c r="Q85" s="2"/>
      <c r="R85" s="2"/>
      <c r="S85" s="2"/>
      <c r="T85" s="2"/>
      <c r="U85" s="2"/>
      <c r="V85" s="2"/>
      <c r="W85" s="2"/>
      <c r="X85" s="2"/>
    </row>
    <row r="86" spans="1:27" ht="17.25" customHeight="1" x14ac:dyDescent="0.25">
      <c r="O86" s="2"/>
      <c r="P86" s="2"/>
      <c r="Q86" s="2"/>
      <c r="R86" s="2"/>
      <c r="S86" s="2"/>
      <c r="T86" s="2"/>
      <c r="U86" s="2"/>
      <c r="V86" s="2"/>
      <c r="W86" s="2"/>
      <c r="X86" s="2"/>
    </row>
    <row r="87" spans="1:27" ht="17.25" customHeight="1" x14ac:dyDescent="0.25">
      <c r="O87" s="2"/>
      <c r="P87" s="2"/>
      <c r="Q87" s="2"/>
      <c r="R87" s="2"/>
      <c r="S87" s="2"/>
      <c r="T87" s="2"/>
      <c r="U87" s="2"/>
      <c r="V87" s="2"/>
      <c r="W87" s="2"/>
      <c r="X87" s="2"/>
    </row>
    <row r="88" spans="1:27" ht="17.25" customHeight="1" x14ac:dyDescent="0.25">
      <c r="O88" s="2"/>
      <c r="P88" s="2"/>
      <c r="Q88" s="2"/>
      <c r="R88" s="2"/>
      <c r="S88" s="2"/>
      <c r="T88" s="2"/>
      <c r="U88" s="2"/>
      <c r="V88" s="2"/>
      <c r="W88" s="2"/>
      <c r="X88" s="2"/>
    </row>
    <row r="89" spans="1:27" ht="17.25" customHeight="1" x14ac:dyDescent="0.25">
      <c r="O89" s="2"/>
      <c r="P89" s="2"/>
      <c r="Q89" s="2"/>
      <c r="R89" s="2"/>
      <c r="S89" s="2"/>
      <c r="T89" s="2"/>
      <c r="U89" s="2"/>
      <c r="V89" s="2"/>
      <c r="W89" s="2"/>
      <c r="X89" s="2"/>
    </row>
    <row r="90" spans="1:27" ht="17.25" customHeight="1" x14ac:dyDescent="0.25">
      <c r="O90" s="2"/>
      <c r="P90" s="2"/>
      <c r="Q90" s="2"/>
      <c r="R90" s="2"/>
      <c r="S90" s="2"/>
      <c r="T90" s="2"/>
      <c r="U90" s="2"/>
      <c r="V90" s="2"/>
      <c r="W90" s="2"/>
      <c r="X90" s="2"/>
    </row>
    <row r="91" spans="1:27" ht="17.25" customHeight="1" x14ac:dyDescent="0.25">
      <c r="O91" s="2"/>
      <c r="P91" s="2"/>
      <c r="Q91" s="2"/>
      <c r="R91" s="2"/>
      <c r="S91" s="2"/>
      <c r="T91" s="2"/>
      <c r="U91" s="2"/>
      <c r="V91" s="2"/>
      <c r="W91" s="2"/>
      <c r="X91" s="2"/>
    </row>
    <row r="92" spans="1:27" ht="17.25" customHeight="1" x14ac:dyDescent="0.25">
      <c r="O92" s="2"/>
      <c r="P92" s="2"/>
      <c r="Q92" s="2"/>
      <c r="R92" s="2"/>
      <c r="S92" s="2"/>
      <c r="T92" s="2"/>
      <c r="U92" s="2"/>
      <c r="V92" s="2"/>
      <c r="W92" s="2"/>
      <c r="X92" s="2"/>
    </row>
    <row r="93" spans="1:27" ht="17.25" customHeight="1" x14ac:dyDescent="0.25">
      <c r="O93" s="2"/>
      <c r="P93" s="2"/>
      <c r="Q93" s="2"/>
      <c r="R93" s="2"/>
      <c r="S93" s="2"/>
      <c r="T93" s="2"/>
      <c r="U93" s="2"/>
      <c r="V93" s="2"/>
      <c r="W93" s="2"/>
      <c r="X93" s="2"/>
    </row>
    <row r="94" spans="1:27" ht="17.25" customHeight="1" x14ac:dyDescent="0.25">
      <c r="O94" s="2"/>
      <c r="P94" s="2"/>
      <c r="Q94" s="2"/>
      <c r="R94" s="2"/>
      <c r="S94" s="2"/>
      <c r="T94" s="2"/>
      <c r="U94" s="2"/>
      <c r="V94" s="2"/>
      <c r="W94" s="2"/>
      <c r="X94" s="2"/>
    </row>
    <row r="95" spans="1:27" ht="17.25" customHeight="1" x14ac:dyDescent="0.25">
      <c r="O95" s="2"/>
      <c r="P95" s="2"/>
      <c r="Q95" s="2"/>
      <c r="R95" s="2"/>
      <c r="S95" s="2"/>
      <c r="T95" s="2"/>
      <c r="U95" s="2"/>
      <c r="V95" s="2"/>
      <c r="W95" s="2"/>
      <c r="X95" s="2"/>
    </row>
    <row r="96" spans="1:27" ht="17.25" customHeight="1" x14ac:dyDescent="0.25">
      <c r="O96" s="2"/>
      <c r="P96" s="2"/>
      <c r="Q96" s="2"/>
      <c r="R96" s="2"/>
      <c r="S96" s="2"/>
      <c r="T96" s="2"/>
      <c r="U96" s="2"/>
      <c r="V96" s="2"/>
      <c r="W96" s="2"/>
      <c r="X96" s="2"/>
    </row>
    <row r="97" spans="2:24" ht="17.25" customHeight="1" x14ac:dyDescent="0.25">
      <c r="O97" s="2"/>
      <c r="P97" s="2"/>
      <c r="Q97" s="2"/>
      <c r="R97" s="2"/>
      <c r="S97" s="2"/>
      <c r="T97" s="2"/>
      <c r="U97" s="2"/>
      <c r="V97" s="2"/>
      <c r="W97" s="2"/>
      <c r="X97" s="2"/>
    </row>
    <row r="98" spans="2:24" ht="17.25" customHeight="1" x14ac:dyDescent="0.25">
      <c r="O98" s="2"/>
      <c r="P98" s="2"/>
      <c r="Q98" s="2"/>
      <c r="R98" s="2"/>
      <c r="S98" s="2"/>
      <c r="T98" s="2"/>
      <c r="U98" s="2"/>
      <c r="V98" s="2"/>
      <c r="W98" s="2"/>
      <c r="X98" s="2"/>
    </row>
    <row r="99" spans="2:24" ht="17.25" customHeight="1" x14ac:dyDescent="0.25">
      <c r="O99" s="2"/>
      <c r="P99" s="2"/>
      <c r="Q99" s="2"/>
      <c r="R99" s="2"/>
      <c r="S99" s="2"/>
      <c r="T99" s="2"/>
      <c r="U99" s="2"/>
      <c r="V99" s="2"/>
      <c r="W99" s="2"/>
      <c r="X99" s="2"/>
    </row>
    <row r="100" spans="2:24" ht="17.25" customHeight="1" x14ac:dyDescent="0.25">
      <c r="B100" t="s">
        <v>84</v>
      </c>
      <c r="G100" t="s">
        <v>87</v>
      </c>
      <c r="H100" t="s">
        <v>87</v>
      </c>
      <c r="I100" t="s">
        <v>87</v>
      </c>
      <c r="O100" s="2"/>
      <c r="P100" s="2"/>
      <c r="Q100" s="2"/>
      <c r="R100" s="2"/>
      <c r="S100" s="2"/>
      <c r="T100" s="2"/>
      <c r="U100" s="2"/>
      <c r="V100" s="2"/>
      <c r="W100" s="2"/>
      <c r="X100" s="2"/>
    </row>
    <row r="101" spans="2:24" ht="17.25" customHeight="1" x14ac:dyDescent="0.25">
      <c r="B101" t="s">
        <v>86</v>
      </c>
      <c r="G101" t="s">
        <v>85</v>
      </c>
      <c r="H101" t="s">
        <v>85</v>
      </c>
      <c r="I101" t="s">
        <v>85</v>
      </c>
      <c r="O101" s="2"/>
      <c r="P101" s="2"/>
      <c r="Q101" s="2"/>
      <c r="R101" s="2"/>
      <c r="S101" s="2"/>
      <c r="T101" s="2"/>
      <c r="U101" s="2"/>
      <c r="V101" s="2"/>
      <c r="W101" s="2"/>
      <c r="X101" s="2"/>
    </row>
    <row r="102" spans="2:24" ht="17.25" customHeight="1" x14ac:dyDescent="0.25">
      <c r="O102" s="2"/>
      <c r="P102" s="2"/>
      <c r="Q102" s="2"/>
      <c r="R102" s="2"/>
      <c r="S102" s="2"/>
      <c r="T102" s="2"/>
      <c r="U102" s="2"/>
      <c r="V102" s="2"/>
      <c r="W102" s="2"/>
      <c r="X102" s="2"/>
    </row>
    <row r="103" spans="2:24" ht="17.25" customHeight="1" x14ac:dyDescent="0.25">
      <c r="O103" s="2"/>
      <c r="P103" s="2"/>
      <c r="Q103" s="2"/>
      <c r="R103" s="2"/>
      <c r="S103" s="2"/>
      <c r="T103" s="2"/>
      <c r="U103" s="2"/>
      <c r="V103" s="2"/>
      <c r="W103" s="2"/>
      <c r="X103" s="2"/>
    </row>
    <row r="104" spans="2:24" ht="17.25" customHeight="1" x14ac:dyDescent="0.25">
      <c r="O104" s="2"/>
      <c r="P104" s="2"/>
      <c r="Q104" s="2"/>
      <c r="R104" s="2"/>
      <c r="S104" s="2"/>
      <c r="T104" s="2"/>
      <c r="U104" s="2"/>
      <c r="V104" s="2"/>
      <c r="W104" s="2"/>
      <c r="X104" s="2"/>
    </row>
    <row r="105" spans="2:24" ht="17.25" customHeight="1" x14ac:dyDescent="0.25">
      <c r="O105" s="2"/>
      <c r="P105" s="2"/>
      <c r="Q105" s="2"/>
      <c r="R105" s="2"/>
      <c r="S105" s="2"/>
      <c r="T105" s="2"/>
      <c r="U105" s="2"/>
      <c r="V105" s="2"/>
      <c r="W105" s="2"/>
      <c r="X105" s="2"/>
    </row>
    <row r="106" spans="2:24" ht="17.25" customHeight="1" x14ac:dyDescent="0.25">
      <c r="O106" s="2"/>
      <c r="P106" s="2"/>
      <c r="Q106" s="2"/>
      <c r="R106" s="2"/>
      <c r="S106" s="2"/>
      <c r="T106" s="2"/>
      <c r="U106" s="2"/>
      <c r="V106" s="2"/>
      <c r="W106" s="2"/>
      <c r="X106" s="2"/>
    </row>
    <row r="107" spans="2:24" ht="17.25" customHeight="1" x14ac:dyDescent="0.25">
      <c r="O107" s="2"/>
      <c r="P107" s="2"/>
      <c r="Q107" s="2"/>
      <c r="R107" s="2"/>
      <c r="S107" s="2"/>
      <c r="T107" s="2"/>
      <c r="U107" s="2"/>
      <c r="V107" s="2"/>
      <c r="W107" s="2"/>
      <c r="X107" s="2"/>
    </row>
    <row r="108" spans="2:24" ht="17.25" customHeight="1" x14ac:dyDescent="0.25">
      <c r="O108" s="2"/>
      <c r="P108" s="2"/>
      <c r="Q108" s="2"/>
      <c r="R108" s="2"/>
      <c r="S108" s="2"/>
      <c r="T108" s="2"/>
      <c r="U108" s="2"/>
      <c r="V108" s="2"/>
      <c r="W108" s="2"/>
      <c r="X108" s="2"/>
    </row>
    <row r="109" spans="2:24" ht="17.25" customHeight="1" x14ac:dyDescent="0.25">
      <c r="O109" s="2"/>
      <c r="P109" s="2"/>
      <c r="Q109" s="2"/>
      <c r="R109" s="2"/>
      <c r="S109" s="2"/>
      <c r="T109" s="2"/>
      <c r="U109" s="2"/>
      <c r="V109" s="2"/>
      <c r="W109" s="2"/>
      <c r="X109" s="2"/>
    </row>
    <row r="110" spans="2:24" ht="17.25" customHeight="1" x14ac:dyDescent="0.25">
      <c r="O110" s="2"/>
      <c r="P110" s="2"/>
      <c r="Q110" s="2"/>
      <c r="R110" s="2"/>
      <c r="S110" s="2"/>
      <c r="T110" s="2"/>
      <c r="U110" s="2"/>
      <c r="V110" s="2"/>
      <c r="W110" s="2"/>
      <c r="X110" s="2"/>
    </row>
    <row r="111" spans="2:24" ht="17.25" customHeight="1" x14ac:dyDescent="0.25">
      <c r="O111" s="2"/>
      <c r="P111" s="2"/>
      <c r="Q111" s="2"/>
      <c r="R111" s="2"/>
      <c r="S111" s="2"/>
      <c r="T111" s="2"/>
      <c r="U111" s="2"/>
      <c r="V111" s="2"/>
      <c r="W111" s="2"/>
      <c r="X111" s="2"/>
    </row>
    <row r="112" spans="2:24" ht="17.25" customHeight="1" x14ac:dyDescent="0.25">
      <c r="O112" s="2"/>
      <c r="P112" s="2"/>
      <c r="Q112" s="2"/>
      <c r="R112" s="2"/>
      <c r="S112" s="2"/>
      <c r="T112" s="2"/>
      <c r="U112" s="2"/>
      <c r="V112" s="2"/>
      <c r="W112" s="2"/>
      <c r="X112" s="2"/>
    </row>
    <row r="113" spans="15:24" ht="17.25" customHeight="1" x14ac:dyDescent="0.25">
      <c r="O113" s="2"/>
      <c r="P113" s="2"/>
      <c r="Q113" s="2"/>
      <c r="R113" s="2"/>
      <c r="S113" s="2"/>
      <c r="T113" s="2"/>
      <c r="U113" s="2"/>
      <c r="V113" s="2"/>
      <c r="W113" s="2"/>
      <c r="X113" s="2"/>
    </row>
    <row r="114" spans="15:24" ht="17.25" customHeight="1" x14ac:dyDescent="0.25">
      <c r="O114" s="2"/>
      <c r="P114" s="2"/>
      <c r="Q114" s="2"/>
      <c r="R114" s="2"/>
      <c r="S114" s="2"/>
      <c r="T114" s="2"/>
      <c r="U114" s="2"/>
      <c r="V114" s="2"/>
      <c r="W114" s="2"/>
      <c r="X114" s="2"/>
    </row>
    <row r="115" spans="15:24" ht="17.25" customHeight="1" x14ac:dyDescent="0.25">
      <c r="O115" s="2"/>
      <c r="P115" s="2"/>
      <c r="Q115" s="2"/>
      <c r="R115" s="2"/>
      <c r="S115" s="2"/>
      <c r="T115" s="2"/>
      <c r="U115" s="2"/>
      <c r="V115" s="2"/>
      <c r="W115" s="2"/>
      <c r="X115" s="2"/>
    </row>
    <row r="116" spans="15:24" ht="17.25" customHeight="1" x14ac:dyDescent="0.25">
      <c r="O116" s="2"/>
      <c r="P116" s="2"/>
      <c r="Q116" s="2"/>
      <c r="R116" s="2"/>
      <c r="S116" s="2"/>
      <c r="T116" s="2"/>
      <c r="U116" s="2"/>
      <c r="V116" s="2"/>
      <c r="W116" s="2"/>
      <c r="X116" s="2"/>
    </row>
    <row r="117" spans="15:24" ht="17.25" customHeight="1" x14ac:dyDescent="0.25">
      <c r="O117" s="2"/>
      <c r="P117" s="2"/>
      <c r="Q117" s="2"/>
      <c r="R117" s="2"/>
      <c r="S117" s="2"/>
      <c r="T117" s="2"/>
      <c r="U117" s="2"/>
      <c r="V117" s="2"/>
      <c r="W117" s="2"/>
      <c r="X117" s="2"/>
    </row>
    <row r="118" spans="15:24" ht="17.25" customHeight="1" x14ac:dyDescent="0.25">
      <c r="O118" s="2"/>
      <c r="P118" s="2"/>
      <c r="Q118" s="2"/>
      <c r="R118" s="2"/>
      <c r="S118" s="2"/>
      <c r="T118" s="2"/>
      <c r="U118" s="2"/>
      <c r="V118" s="2"/>
      <c r="W118" s="2"/>
      <c r="X118" s="2"/>
    </row>
    <row r="119" spans="15:24" ht="17.25" customHeight="1" x14ac:dyDescent="0.25">
      <c r="O119" s="2"/>
      <c r="P119" s="2"/>
      <c r="Q119" s="2"/>
      <c r="R119" s="2"/>
      <c r="S119" s="2"/>
      <c r="T119" s="2"/>
      <c r="U119" s="2"/>
      <c r="V119" s="2"/>
      <c r="W119" s="2"/>
      <c r="X119" s="2"/>
    </row>
    <row r="120" spans="15:24" ht="17.25" customHeight="1" x14ac:dyDescent="0.25">
      <c r="O120" s="2"/>
      <c r="P120" s="2"/>
      <c r="Q120" s="2"/>
      <c r="R120" s="2"/>
      <c r="S120" s="2"/>
      <c r="T120" s="2"/>
      <c r="U120" s="2"/>
      <c r="V120" s="2"/>
      <c r="W120" s="2"/>
      <c r="X120" s="2"/>
    </row>
    <row r="121" spans="15:24" ht="17.25" customHeight="1" x14ac:dyDescent="0.25">
      <c r="O121" s="2"/>
      <c r="P121" s="2"/>
      <c r="Q121" s="2"/>
      <c r="R121" s="2"/>
      <c r="S121" s="2"/>
      <c r="T121" s="2"/>
      <c r="U121" s="2"/>
      <c r="V121" s="2"/>
      <c r="W121" s="2"/>
      <c r="X121" s="2"/>
    </row>
    <row r="122" spans="15:24" ht="17.25" customHeight="1" x14ac:dyDescent="0.25">
      <c r="O122" s="2"/>
      <c r="P122" s="2"/>
      <c r="Q122" s="2"/>
      <c r="R122" s="2"/>
      <c r="S122" s="2"/>
      <c r="T122" s="2"/>
      <c r="U122" s="2"/>
      <c r="V122" s="2"/>
      <c r="W122" s="2"/>
      <c r="X122" s="2"/>
    </row>
    <row r="123" spans="15:24" ht="17.25" customHeight="1" x14ac:dyDescent="0.25">
      <c r="O123" s="2"/>
      <c r="P123" s="2"/>
      <c r="Q123" s="2"/>
      <c r="R123" s="2"/>
      <c r="S123" s="2"/>
      <c r="T123" s="2"/>
      <c r="U123" s="2"/>
      <c r="V123" s="2"/>
      <c r="W123" s="2"/>
      <c r="X123" s="2"/>
    </row>
    <row r="124" spans="15:24" ht="17.25" customHeight="1" x14ac:dyDescent="0.25">
      <c r="O124" s="2"/>
      <c r="P124" s="2"/>
      <c r="Q124" s="2"/>
      <c r="R124" s="2"/>
      <c r="S124" s="2"/>
      <c r="T124" s="2"/>
      <c r="U124" s="2"/>
      <c r="V124" s="2"/>
      <c r="W124" s="2"/>
      <c r="X124" s="2"/>
    </row>
    <row r="125" spans="15:24" ht="17.25" customHeight="1" x14ac:dyDescent="0.25">
      <c r="O125" s="2"/>
      <c r="P125" s="2"/>
      <c r="Q125" s="2"/>
      <c r="R125" s="2"/>
      <c r="S125" s="2"/>
      <c r="T125" s="2"/>
      <c r="U125" s="2"/>
      <c r="V125" s="2"/>
      <c r="W125" s="2"/>
      <c r="X125" s="2"/>
    </row>
    <row r="126" spans="15:24" ht="17.25" customHeight="1" x14ac:dyDescent="0.25">
      <c r="O126" s="2"/>
      <c r="P126" s="2"/>
      <c r="Q126" s="2"/>
      <c r="R126" s="2"/>
      <c r="S126" s="2"/>
      <c r="T126" s="2"/>
      <c r="U126" s="2"/>
      <c r="V126" s="2"/>
      <c r="W126" s="2"/>
      <c r="X126" s="2"/>
    </row>
    <row r="127" spans="15:24" ht="17.25" customHeight="1" x14ac:dyDescent="0.25">
      <c r="O127" s="2"/>
      <c r="P127" s="2"/>
      <c r="Q127" s="2"/>
      <c r="R127" s="2"/>
      <c r="S127" s="2"/>
      <c r="T127" s="2"/>
      <c r="U127" s="2"/>
      <c r="V127" s="2"/>
      <c r="W127" s="2"/>
      <c r="X127" s="2"/>
    </row>
    <row r="128" spans="15:24" ht="17.25" customHeight="1" x14ac:dyDescent="0.25">
      <c r="O128" s="2"/>
      <c r="P128" s="2"/>
      <c r="Q128" s="2"/>
      <c r="R128" s="2"/>
      <c r="S128" s="2"/>
      <c r="T128" s="2"/>
      <c r="U128" s="2"/>
      <c r="V128" s="2"/>
      <c r="W128" s="2"/>
      <c r="X128" s="2"/>
    </row>
    <row r="129" spans="15:24" ht="17.25" customHeight="1" x14ac:dyDescent="0.25">
      <c r="O129" s="2"/>
      <c r="P129" s="2"/>
      <c r="Q129" s="2"/>
      <c r="R129" s="2"/>
      <c r="S129" s="2"/>
      <c r="T129" s="2"/>
      <c r="U129" s="2"/>
      <c r="V129" s="2"/>
      <c r="W129" s="2"/>
      <c r="X129" s="2"/>
    </row>
    <row r="130" spans="15:24" ht="17.25" customHeight="1" x14ac:dyDescent="0.25">
      <c r="O130" s="2"/>
      <c r="P130" s="2"/>
      <c r="Q130" s="2"/>
      <c r="R130" s="2"/>
      <c r="S130" s="2"/>
      <c r="T130" s="2"/>
      <c r="U130" s="2"/>
      <c r="V130" s="2"/>
      <c r="W130" s="2"/>
      <c r="X130" s="2"/>
    </row>
    <row r="131" spans="15:24" ht="17.25" customHeight="1" x14ac:dyDescent="0.25">
      <c r="O131" s="2"/>
      <c r="P131" s="2"/>
      <c r="Q131" s="2"/>
      <c r="R131" s="2"/>
      <c r="S131" s="2"/>
      <c r="T131" s="2"/>
      <c r="U131" s="2"/>
      <c r="V131" s="2"/>
      <c r="W131" s="2"/>
      <c r="X131" s="2"/>
    </row>
    <row r="132" spans="15:24" ht="17.25" customHeight="1" x14ac:dyDescent="0.25">
      <c r="O132" s="2"/>
      <c r="P132" s="2"/>
      <c r="Q132" s="2"/>
      <c r="R132" s="2"/>
      <c r="S132" s="2"/>
      <c r="T132" s="2"/>
      <c r="U132" s="2"/>
      <c r="V132" s="2"/>
      <c r="W132" s="2"/>
      <c r="X132" s="2"/>
    </row>
    <row r="133" spans="15:24" ht="17.25" customHeight="1" x14ac:dyDescent="0.25">
      <c r="O133" s="2"/>
      <c r="P133" s="2"/>
      <c r="Q133" s="2"/>
      <c r="R133" s="2"/>
      <c r="S133" s="2"/>
      <c r="T133" s="2"/>
      <c r="U133" s="2"/>
      <c r="V133" s="2"/>
      <c r="W133" s="2"/>
      <c r="X133" s="2"/>
    </row>
    <row r="134" spans="15:24" ht="17.25" customHeight="1" x14ac:dyDescent="0.25">
      <c r="O134" s="2"/>
      <c r="P134" s="2"/>
      <c r="Q134" s="2"/>
      <c r="R134" s="2"/>
      <c r="S134" s="2"/>
      <c r="T134" s="2"/>
      <c r="U134" s="2"/>
      <c r="V134" s="2"/>
      <c r="W134" s="2"/>
      <c r="X134" s="2"/>
    </row>
    <row r="135" spans="15:24" ht="17.25" customHeight="1" x14ac:dyDescent="0.25">
      <c r="O135" s="2"/>
      <c r="P135" s="2"/>
      <c r="Q135" s="2"/>
      <c r="R135" s="2"/>
      <c r="S135" s="2"/>
      <c r="T135" s="2"/>
      <c r="U135" s="2"/>
      <c r="V135" s="2"/>
      <c r="W135" s="2"/>
      <c r="X135" s="2"/>
    </row>
    <row r="136" spans="15:24" ht="17.25" customHeight="1" x14ac:dyDescent="0.25">
      <c r="O136" s="2"/>
      <c r="P136" s="2"/>
      <c r="Q136" s="2"/>
      <c r="R136" s="2"/>
      <c r="S136" s="2"/>
      <c r="T136" s="2"/>
      <c r="U136" s="2"/>
      <c r="V136" s="2"/>
      <c r="W136" s="2"/>
      <c r="X136" s="2"/>
    </row>
    <row r="137" spans="15:24" ht="17.25" customHeight="1" x14ac:dyDescent="0.25">
      <c r="O137" s="2"/>
      <c r="P137" s="2"/>
      <c r="Q137" s="2"/>
      <c r="R137" s="2"/>
      <c r="S137" s="2"/>
      <c r="T137" s="2"/>
      <c r="U137" s="2"/>
      <c r="V137" s="2"/>
      <c r="W137" s="2"/>
      <c r="X137" s="2"/>
    </row>
    <row r="138" spans="15:24" ht="17.25" customHeight="1" x14ac:dyDescent="0.25">
      <c r="O138" s="2"/>
      <c r="P138" s="2"/>
      <c r="Q138" s="2"/>
      <c r="R138" s="2"/>
      <c r="S138" s="2"/>
      <c r="T138" s="2"/>
      <c r="U138" s="2"/>
      <c r="V138" s="2"/>
      <c r="W138" s="2"/>
      <c r="X138" s="2"/>
    </row>
    <row r="139" spans="15:24" ht="17.25" customHeight="1" x14ac:dyDescent="0.25">
      <c r="O139" s="2"/>
      <c r="P139" s="2"/>
      <c r="Q139" s="2"/>
      <c r="R139" s="2"/>
      <c r="S139" s="2"/>
      <c r="T139" s="2"/>
      <c r="U139" s="2"/>
      <c r="V139" s="2"/>
      <c r="W139" s="2"/>
      <c r="X139" s="2"/>
    </row>
    <row r="140" spans="15:24" ht="17.25" customHeight="1" x14ac:dyDescent="0.25">
      <c r="O140" s="2"/>
      <c r="P140" s="2"/>
      <c r="Q140" s="2"/>
      <c r="R140" s="2"/>
      <c r="S140" s="2"/>
      <c r="T140" s="2"/>
      <c r="U140" s="2"/>
      <c r="V140" s="2"/>
      <c r="W140" s="2"/>
      <c r="X140" s="2"/>
    </row>
    <row r="141" spans="15:24" ht="17.25" customHeight="1" x14ac:dyDescent="0.25">
      <c r="O141" s="2"/>
      <c r="P141" s="2"/>
      <c r="Q141" s="2"/>
      <c r="R141" s="2"/>
      <c r="S141" s="2"/>
      <c r="T141" s="2"/>
      <c r="U141" s="2"/>
      <c r="V141" s="2"/>
      <c r="W141" s="2"/>
      <c r="X141" s="2"/>
    </row>
    <row r="142" spans="15:24" ht="17.25" customHeight="1" x14ac:dyDescent="0.25">
      <c r="O142" s="2"/>
      <c r="P142" s="2"/>
      <c r="Q142" s="2"/>
      <c r="R142" s="2"/>
      <c r="S142" s="2"/>
      <c r="T142" s="2"/>
      <c r="U142" s="2"/>
      <c r="V142" s="2"/>
      <c r="W142" s="2"/>
      <c r="X142" s="2"/>
    </row>
    <row r="143" spans="15:24" ht="17.25" customHeight="1" x14ac:dyDescent="0.25">
      <c r="O143" s="2"/>
      <c r="P143" s="2"/>
      <c r="Q143" s="2"/>
      <c r="R143" s="2"/>
      <c r="S143" s="2"/>
      <c r="T143" s="2"/>
      <c r="U143" s="2"/>
      <c r="V143" s="2"/>
      <c r="W143" s="2"/>
      <c r="X143" s="2"/>
    </row>
    <row r="144" spans="15:24" ht="17.25" customHeight="1" x14ac:dyDescent="0.25">
      <c r="O144" s="2"/>
      <c r="P144" s="2"/>
      <c r="Q144" s="2"/>
      <c r="R144" s="2"/>
      <c r="S144" s="2"/>
      <c r="T144" s="2"/>
      <c r="U144" s="2"/>
      <c r="V144" s="2"/>
      <c r="W144" s="2"/>
      <c r="X144" s="2"/>
    </row>
    <row r="145" spans="15:24" ht="17.25" customHeight="1" x14ac:dyDescent="0.25">
      <c r="O145" s="2"/>
      <c r="P145" s="2"/>
      <c r="Q145" s="2"/>
      <c r="R145" s="2"/>
      <c r="S145" s="2"/>
      <c r="T145" s="2"/>
      <c r="U145" s="2"/>
      <c r="V145" s="2"/>
      <c r="W145" s="2"/>
      <c r="X145" s="2"/>
    </row>
    <row r="146" spans="15:24" ht="17.25" customHeight="1" x14ac:dyDescent="0.25">
      <c r="O146" s="2"/>
      <c r="P146" s="2"/>
      <c r="Q146" s="2"/>
      <c r="R146" s="2"/>
      <c r="S146" s="2"/>
      <c r="T146" s="2"/>
      <c r="U146" s="2"/>
      <c r="V146" s="2"/>
      <c r="W146" s="2"/>
      <c r="X146" s="2"/>
    </row>
    <row r="147" spans="15:24" ht="17.25" customHeight="1" x14ac:dyDescent="0.25">
      <c r="O147" s="2"/>
      <c r="P147" s="2"/>
      <c r="Q147" s="2"/>
      <c r="R147" s="2"/>
      <c r="S147" s="2"/>
      <c r="T147" s="2"/>
      <c r="U147" s="2"/>
      <c r="V147" s="2"/>
      <c r="W147" s="2"/>
      <c r="X147" s="2"/>
    </row>
    <row r="148" spans="15:24" ht="17.25" customHeight="1" x14ac:dyDescent="0.25">
      <c r="O148" s="2"/>
      <c r="P148" s="2"/>
      <c r="Q148" s="2"/>
      <c r="R148" s="2"/>
      <c r="S148" s="2"/>
      <c r="T148" s="2"/>
      <c r="U148" s="2"/>
      <c r="V148" s="2"/>
      <c r="W148" s="2"/>
      <c r="X148" s="2"/>
    </row>
    <row r="149" spans="15:24" ht="17.25" customHeight="1" x14ac:dyDescent="0.25">
      <c r="O149" s="2"/>
      <c r="P149" s="2"/>
      <c r="Q149" s="2"/>
      <c r="R149" s="2"/>
      <c r="S149" s="2"/>
      <c r="T149" s="2"/>
      <c r="U149" s="2"/>
      <c r="V149" s="2"/>
      <c r="W149" s="2"/>
      <c r="X149" s="2"/>
    </row>
    <row r="150" spans="15:24" ht="17.25" customHeight="1" x14ac:dyDescent="0.25">
      <c r="O150" s="2"/>
      <c r="P150" s="2"/>
      <c r="Q150" s="2"/>
      <c r="R150" s="2"/>
      <c r="S150" s="2"/>
      <c r="T150" s="2"/>
      <c r="U150" s="2"/>
      <c r="V150" s="2"/>
      <c r="W150" s="2"/>
      <c r="X150" s="2"/>
    </row>
    <row r="151" spans="15:24" ht="17.25" customHeight="1" x14ac:dyDescent="0.25">
      <c r="O151" s="2"/>
      <c r="P151" s="2"/>
      <c r="Q151" s="2"/>
      <c r="R151" s="2"/>
      <c r="S151" s="2"/>
      <c r="T151" s="2"/>
      <c r="U151" s="2"/>
      <c r="V151" s="2"/>
      <c r="W151" s="2"/>
      <c r="X151" s="2"/>
    </row>
    <row r="152" spans="15:24" ht="17.25" customHeight="1" x14ac:dyDescent="0.25">
      <c r="O152" s="2"/>
      <c r="P152" s="2"/>
      <c r="Q152" s="2"/>
      <c r="R152" s="2"/>
      <c r="S152" s="2"/>
      <c r="T152" s="2"/>
      <c r="U152" s="2"/>
      <c r="V152" s="2"/>
      <c r="W152" s="2"/>
      <c r="X152" s="2"/>
    </row>
    <row r="153" spans="15:24" ht="17.25" customHeight="1" x14ac:dyDescent="0.25">
      <c r="O153" s="2"/>
      <c r="P153" s="2"/>
      <c r="Q153" s="2"/>
      <c r="R153" s="2"/>
      <c r="S153" s="2"/>
      <c r="T153" s="2"/>
      <c r="U153" s="2"/>
      <c r="V153" s="2"/>
      <c r="W153" s="2"/>
      <c r="X153" s="2"/>
    </row>
    <row r="154" spans="15:24" ht="17.25" customHeight="1" x14ac:dyDescent="0.25">
      <c r="O154" s="2"/>
      <c r="P154" s="2"/>
      <c r="Q154" s="2"/>
      <c r="R154" s="2"/>
      <c r="S154" s="2"/>
      <c r="T154" s="2"/>
      <c r="U154" s="2"/>
      <c r="V154" s="2"/>
      <c r="W154" s="2"/>
      <c r="X154" s="2"/>
    </row>
    <row r="155" spans="15:24" ht="17.25" customHeight="1" x14ac:dyDescent="0.25">
      <c r="O155" s="2"/>
      <c r="P155" s="2"/>
      <c r="Q155" s="2"/>
      <c r="R155" s="2"/>
      <c r="S155" s="2"/>
      <c r="T155" s="2"/>
      <c r="U155" s="2"/>
      <c r="V155" s="2"/>
      <c r="W155" s="2"/>
      <c r="X155" s="2"/>
    </row>
    <row r="156" spans="15:24" ht="17.25" customHeight="1" x14ac:dyDescent="0.25">
      <c r="O156" s="2"/>
      <c r="P156" s="2"/>
      <c r="Q156" s="2"/>
      <c r="R156" s="2"/>
      <c r="S156" s="2"/>
      <c r="T156" s="2"/>
      <c r="U156" s="2"/>
      <c r="V156" s="2"/>
      <c r="W156" s="2"/>
      <c r="X156" s="2"/>
    </row>
    <row r="157" spans="15:24" ht="17.25" customHeight="1" x14ac:dyDescent="0.25">
      <c r="O157" s="2"/>
      <c r="P157" s="2"/>
      <c r="Q157" s="2"/>
      <c r="R157" s="2"/>
      <c r="S157" s="2"/>
      <c r="T157" s="2"/>
      <c r="U157" s="2"/>
      <c r="V157" s="2"/>
      <c r="W157" s="2"/>
      <c r="X157" s="2"/>
    </row>
    <row r="158" spans="15:24" ht="17.25" customHeight="1" x14ac:dyDescent="0.25">
      <c r="O158" s="2"/>
      <c r="P158" s="2"/>
      <c r="Q158" s="2"/>
      <c r="R158" s="2"/>
      <c r="S158" s="2"/>
      <c r="T158" s="2"/>
      <c r="U158" s="2"/>
      <c r="V158" s="2"/>
      <c r="W158" s="2"/>
      <c r="X158" s="2"/>
    </row>
    <row r="159" spans="15:24" ht="17.25" customHeight="1" x14ac:dyDescent="0.25">
      <c r="O159" s="2"/>
      <c r="P159" s="2"/>
      <c r="Q159" s="2"/>
      <c r="R159" s="2"/>
      <c r="S159" s="2"/>
      <c r="T159" s="2"/>
      <c r="U159" s="2"/>
      <c r="V159" s="2"/>
      <c r="W159" s="2"/>
      <c r="X159" s="2"/>
    </row>
    <row r="160" spans="15:24" ht="17.25" customHeight="1" x14ac:dyDescent="0.25">
      <c r="O160" s="2"/>
      <c r="P160" s="2"/>
      <c r="Q160" s="2"/>
      <c r="R160" s="2"/>
      <c r="S160" s="2"/>
      <c r="T160" s="2"/>
      <c r="U160" s="2"/>
      <c r="V160" s="2"/>
      <c r="W160" s="2"/>
      <c r="X160" s="2"/>
    </row>
    <row r="161" spans="15:24" ht="17.25" customHeight="1" x14ac:dyDescent="0.25">
      <c r="O161" s="2"/>
      <c r="P161" s="2"/>
      <c r="Q161" s="2"/>
      <c r="R161" s="2"/>
      <c r="S161" s="2"/>
      <c r="T161" s="2"/>
      <c r="U161" s="2"/>
      <c r="V161" s="2"/>
      <c r="W161" s="2"/>
      <c r="X161" s="2"/>
    </row>
    <row r="162" spans="15:24" ht="17.25" customHeight="1" x14ac:dyDescent="0.25">
      <c r="O162" s="2"/>
      <c r="P162" s="2"/>
      <c r="Q162" s="2"/>
      <c r="R162" s="2"/>
      <c r="S162" s="2"/>
      <c r="T162" s="2"/>
      <c r="U162" s="2"/>
      <c r="V162" s="2"/>
      <c r="W162" s="2"/>
      <c r="X162" s="2"/>
    </row>
    <row r="163" spans="15:24" ht="17.25" customHeight="1" x14ac:dyDescent="0.25">
      <c r="O163" s="2"/>
      <c r="P163" s="2"/>
      <c r="Q163" s="2"/>
      <c r="R163" s="2"/>
      <c r="S163" s="2"/>
      <c r="T163" s="2"/>
      <c r="U163" s="2"/>
      <c r="V163" s="2"/>
      <c r="W163" s="2"/>
      <c r="X163" s="2"/>
    </row>
    <row r="164" spans="15:24" ht="17.25" customHeight="1" x14ac:dyDescent="0.25">
      <c r="O164" s="2"/>
      <c r="P164" s="2"/>
      <c r="Q164" s="2"/>
      <c r="R164" s="2"/>
      <c r="S164" s="2"/>
      <c r="T164" s="2"/>
      <c r="U164" s="2"/>
      <c r="V164" s="2"/>
      <c r="W164" s="2"/>
      <c r="X164" s="2"/>
    </row>
    <row r="165" spans="15:24" ht="17.25" customHeight="1" x14ac:dyDescent="0.25">
      <c r="O165" s="2"/>
      <c r="P165" s="2"/>
      <c r="Q165" s="2"/>
      <c r="R165" s="2"/>
      <c r="S165" s="2"/>
      <c r="T165" s="2"/>
      <c r="U165" s="2"/>
      <c r="V165" s="2"/>
      <c r="W165" s="2"/>
      <c r="X165" s="2"/>
    </row>
    <row r="166" spans="15:24" ht="17.25" customHeight="1" x14ac:dyDescent="0.25">
      <c r="O166" s="2"/>
      <c r="P166" s="2"/>
      <c r="Q166" s="2"/>
      <c r="R166" s="2"/>
      <c r="S166" s="2"/>
      <c r="T166" s="2"/>
      <c r="U166" s="2"/>
      <c r="V166" s="2"/>
      <c r="W166" s="2"/>
      <c r="X166" s="2"/>
    </row>
    <row r="167" spans="15:24" ht="17.25" customHeight="1" x14ac:dyDescent="0.25">
      <c r="O167" s="2"/>
      <c r="P167" s="2"/>
      <c r="Q167" s="2"/>
      <c r="R167" s="2"/>
      <c r="S167" s="2"/>
      <c r="T167" s="2"/>
      <c r="U167" s="2"/>
      <c r="V167" s="2"/>
      <c r="W167" s="2"/>
      <c r="X167" s="2"/>
    </row>
    <row r="168" spans="15:24" ht="17.25" customHeight="1" x14ac:dyDescent="0.25">
      <c r="O168" s="2"/>
      <c r="P168" s="2"/>
      <c r="Q168" s="2"/>
      <c r="R168" s="2"/>
      <c r="S168" s="2"/>
      <c r="T168" s="2"/>
      <c r="U168" s="2"/>
      <c r="V168" s="2"/>
      <c r="W168" s="2"/>
      <c r="X168" s="2"/>
    </row>
    <row r="169" spans="15:24" ht="17.25" customHeight="1" x14ac:dyDescent="0.25">
      <c r="O169" s="2"/>
      <c r="P169" s="2"/>
      <c r="Q169" s="2"/>
      <c r="R169" s="2"/>
      <c r="S169" s="2"/>
      <c r="T169" s="2"/>
      <c r="U169" s="2"/>
      <c r="V169" s="2"/>
      <c r="W169" s="2"/>
      <c r="X169" s="2"/>
    </row>
    <row r="170" spans="15:24" ht="17.25" customHeight="1" x14ac:dyDescent="0.25">
      <c r="O170" s="2"/>
      <c r="P170" s="2"/>
      <c r="Q170" s="2"/>
      <c r="R170" s="2"/>
      <c r="S170" s="2"/>
      <c r="T170" s="2"/>
      <c r="U170" s="2"/>
      <c r="V170" s="2"/>
      <c r="W170" s="2"/>
      <c r="X170" s="2"/>
    </row>
    <row r="171" spans="15:24" ht="17.25" customHeight="1" x14ac:dyDescent="0.25">
      <c r="O171" s="2"/>
      <c r="P171" s="2"/>
      <c r="Q171" s="2"/>
      <c r="R171" s="2"/>
      <c r="S171" s="2"/>
      <c r="T171" s="2"/>
      <c r="U171" s="2"/>
      <c r="V171" s="2"/>
      <c r="W171" s="2"/>
      <c r="X171" s="2"/>
    </row>
    <row r="172" spans="15:24" ht="17.25" customHeight="1" x14ac:dyDescent="0.25">
      <c r="O172" s="2"/>
      <c r="P172" s="2"/>
      <c r="Q172" s="2"/>
      <c r="R172" s="2"/>
      <c r="S172" s="2"/>
      <c r="T172" s="2"/>
      <c r="U172" s="2"/>
      <c r="V172" s="2"/>
      <c r="W172" s="2"/>
      <c r="X172" s="2"/>
    </row>
    <row r="173" spans="15:24" ht="17.25" customHeight="1" x14ac:dyDescent="0.25">
      <c r="O173" s="2"/>
      <c r="P173" s="2"/>
      <c r="Q173" s="2"/>
      <c r="R173" s="2"/>
      <c r="S173" s="2"/>
      <c r="T173" s="2"/>
      <c r="U173" s="2"/>
      <c r="V173" s="2"/>
      <c r="W173" s="2"/>
      <c r="X173" s="2"/>
    </row>
    <row r="174" spans="15:24" ht="17.25" customHeight="1" x14ac:dyDescent="0.25">
      <c r="O174" s="2"/>
      <c r="P174" s="2"/>
      <c r="Q174" s="2"/>
      <c r="R174" s="2"/>
      <c r="S174" s="2"/>
      <c r="T174" s="2"/>
      <c r="U174" s="2"/>
      <c r="V174" s="2"/>
      <c r="W174" s="2"/>
      <c r="X174" s="2"/>
    </row>
    <row r="175" spans="15:24" ht="17.25" customHeight="1" x14ac:dyDescent="0.25">
      <c r="O175" s="2"/>
      <c r="P175" s="2"/>
      <c r="Q175" s="2"/>
      <c r="R175" s="2"/>
      <c r="S175" s="2"/>
      <c r="T175" s="2"/>
      <c r="U175" s="2"/>
      <c r="V175" s="2"/>
      <c r="W175" s="2"/>
      <c r="X175" s="2"/>
    </row>
    <row r="176" spans="15:24" ht="17.25" customHeight="1" x14ac:dyDescent="0.25">
      <c r="O176" s="2"/>
      <c r="P176" s="2"/>
      <c r="Q176" s="2"/>
      <c r="R176" s="2"/>
      <c r="S176" s="2"/>
      <c r="T176" s="2"/>
      <c r="U176" s="2"/>
      <c r="V176" s="2"/>
      <c r="W176" s="2"/>
      <c r="X176" s="2"/>
    </row>
    <row r="177" spans="15:24" ht="17.25" customHeight="1" x14ac:dyDescent="0.25">
      <c r="O177" s="2"/>
      <c r="P177" s="2"/>
      <c r="Q177" s="2"/>
      <c r="R177" s="2"/>
      <c r="S177" s="2"/>
      <c r="T177" s="2"/>
      <c r="U177" s="2"/>
      <c r="V177" s="2"/>
      <c r="W177" s="2"/>
      <c r="X177" s="2"/>
    </row>
    <row r="178" spans="15:24" ht="17.25" customHeight="1" x14ac:dyDescent="0.25">
      <c r="O178" s="2"/>
      <c r="P178" s="2"/>
      <c r="Q178" s="2"/>
      <c r="R178" s="2"/>
      <c r="S178" s="2"/>
      <c r="T178" s="2"/>
      <c r="U178" s="2"/>
      <c r="V178" s="2"/>
      <c r="W178" s="2"/>
      <c r="X178" s="2"/>
    </row>
    <row r="179" spans="15:24" ht="17.25" customHeight="1" x14ac:dyDescent="0.25">
      <c r="O179" s="2"/>
      <c r="P179" s="2"/>
      <c r="Q179" s="2"/>
      <c r="R179" s="2"/>
      <c r="S179" s="2"/>
      <c r="T179" s="2"/>
      <c r="U179" s="2"/>
      <c r="V179" s="2"/>
      <c r="W179" s="2"/>
      <c r="X179" s="2"/>
    </row>
    <row r="180" spans="15:24" ht="17.25" customHeight="1" x14ac:dyDescent="0.25">
      <c r="O180" s="2"/>
      <c r="P180" s="2"/>
      <c r="Q180" s="2"/>
      <c r="R180" s="2"/>
      <c r="S180" s="2"/>
      <c r="T180" s="2"/>
      <c r="U180" s="2"/>
      <c r="V180" s="2"/>
      <c r="W180" s="2"/>
      <c r="X180" s="2"/>
    </row>
    <row r="181" spans="15:24" ht="17.25" customHeight="1" x14ac:dyDescent="0.25">
      <c r="O181" s="2"/>
      <c r="P181" s="2"/>
      <c r="Q181" s="2"/>
      <c r="R181" s="2"/>
      <c r="S181" s="2"/>
      <c r="T181" s="2"/>
      <c r="U181" s="2"/>
      <c r="V181" s="2"/>
      <c r="W181" s="2"/>
      <c r="X181" s="2"/>
    </row>
    <row r="182" spans="15:24" ht="17.25" customHeight="1" x14ac:dyDescent="0.25">
      <c r="O182" s="2"/>
      <c r="P182" s="2"/>
      <c r="Q182" s="2"/>
      <c r="R182" s="2"/>
      <c r="S182" s="2"/>
      <c r="T182" s="2"/>
      <c r="U182" s="2"/>
      <c r="V182" s="2"/>
      <c r="W182" s="2"/>
      <c r="X182" s="2"/>
    </row>
    <row r="183" spans="15:24" ht="17.25" customHeight="1" x14ac:dyDescent="0.25">
      <c r="O183" s="2"/>
      <c r="P183" s="2"/>
      <c r="Q183" s="2"/>
      <c r="R183" s="2"/>
      <c r="S183" s="2"/>
      <c r="T183" s="2"/>
      <c r="U183" s="2"/>
      <c r="V183" s="2"/>
      <c r="W183" s="2"/>
      <c r="X183" s="2"/>
    </row>
    <row r="184" spans="15:24" ht="17.25" customHeight="1" x14ac:dyDescent="0.25">
      <c r="O184" s="2"/>
      <c r="P184" s="2"/>
      <c r="Q184" s="2"/>
      <c r="R184" s="2"/>
      <c r="S184" s="2"/>
      <c r="T184" s="2"/>
      <c r="U184" s="2"/>
      <c r="V184" s="2"/>
      <c r="W184" s="2"/>
      <c r="X184" s="2"/>
    </row>
    <row r="185" spans="15:24" ht="17.25" customHeight="1" x14ac:dyDescent="0.25">
      <c r="O185" s="2"/>
      <c r="P185" s="2"/>
      <c r="Q185" s="2"/>
      <c r="R185" s="2"/>
      <c r="S185" s="2"/>
      <c r="T185" s="2"/>
      <c r="U185" s="2"/>
      <c r="V185" s="2"/>
      <c r="W185" s="2"/>
      <c r="X185" s="2"/>
    </row>
    <row r="186" spans="15:24" ht="17.25" customHeight="1" x14ac:dyDescent="0.25">
      <c r="O186" s="2"/>
      <c r="P186" s="2"/>
      <c r="Q186" s="2"/>
      <c r="R186" s="2"/>
      <c r="S186" s="2"/>
      <c r="T186" s="2"/>
      <c r="U186" s="2"/>
      <c r="V186" s="2"/>
      <c r="W186" s="2"/>
      <c r="X186" s="2"/>
    </row>
    <row r="187" spans="15:24" ht="17.25" customHeight="1" x14ac:dyDescent="0.25">
      <c r="O187" s="2"/>
      <c r="P187" s="2"/>
      <c r="Q187" s="2"/>
      <c r="R187" s="2"/>
      <c r="S187" s="2"/>
      <c r="T187" s="2"/>
      <c r="U187" s="2"/>
      <c r="V187" s="2"/>
      <c r="W187" s="2"/>
      <c r="X187" s="2"/>
    </row>
    <row r="188" spans="15:24" ht="17.25" customHeight="1" x14ac:dyDescent="0.25">
      <c r="O188" s="2"/>
      <c r="P188" s="2"/>
      <c r="Q188" s="2"/>
      <c r="R188" s="2"/>
      <c r="S188" s="2"/>
      <c r="T188" s="2"/>
      <c r="U188" s="2"/>
      <c r="V188" s="2"/>
      <c r="W188" s="2"/>
      <c r="X188" s="2"/>
    </row>
    <row r="189" spans="15:24" ht="17.25" customHeight="1" x14ac:dyDescent="0.25">
      <c r="O189" s="2"/>
      <c r="P189" s="2"/>
      <c r="Q189" s="2"/>
      <c r="R189" s="2"/>
      <c r="S189" s="2"/>
      <c r="T189" s="2"/>
      <c r="U189" s="2"/>
      <c r="V189" s="2"/>
      <c r="W189" s="2"/>
      <c r="X189" s="2"/>
    </row>
    <row r="190" spans="15:24" ht="17.25" customHeight="1" x14ac:dyDescent="0.25">
      <c r="O190" s="2"/>
      <c r="P190" s="2"/>
      <c r="Q190" s="2"/>
      <c r="R190" s="2"/>
      <c r="S190" s="2"/>
      <c r="T190" s="2"/>
      <c r="U190" s="2"/>
      <c r="V190" s="2"/>
      <c r="W190" s="2"/>
      <c r="X190" s="2"/>
    </row>
    <row r="191" spans="15:24" ht="17.25" customHeight="1" x14ac:dyDescent="0.25">
      <c r="O191" s="2"/>
      <c r="P191" s="2"/>
      <c r="Q191" s="2"/>
      <c r="R191" s="2"/>
      <c r="S191" s="2"/>
      <c r="T191" s="2"/>
      <c r="U191" s="2"/>
      <c r="V191" s="2"/>
      <c r="W191" s="2"/>
      <c r="X191" s="2"/>
    </row>
    <row r="192" spans="15:24" ht="17.25" customHeight="1" x14ac:dyDescent="0.25">
      <c r="O192" s="2"/>
      <c r="P192" s="2"/>
      <c r="Q192" s="2"/>
      <c r="R192" s="2"/>
      <c r="S192" s="2"/>
      <c r="T192" s="2"/>
      <c r="U192" s="2"/>
      <c r="V192" s="2"/>
      <c r="W192" s="2"/>
      <c r="X192" s="2"/>
    </row>
    <row r="193" spans="15:24" ht="17.25" customHeight="1" x14ac:dyDescent="0.25">
      <c r="O193" s="2"/>
      <c r="P193" s="2"/>
      <c r="Q193" s="2"/>
      <c r="R193" s="2"/>
      <c r="S193" s="2"/>
      <c r="T193" s="2"/>
      <c r="U193" s="2"/>
      <c r="V193" s="2"/>
      <c r="W193" s="2"/>
      <c r="X193" s="2"/>
    </row>
    <row r="194" spans="15:24" ht="17.25" customHeight="1" x14ac:dyDescent="0.25">
      <c r="O194" s="2"/>
      <c r="P194" s="2"/>
      <c r="Q194" s="2"/>
      <c r="R194" s="2"/>
      <c r="S194" s="2"/>
      <c r="T194" s="2"/>
      <c r="U194" s="2"/>
      <c r="V194" s="2"/>
      <c r="W194" s="2"/>
      <c r="X194" s="2"/>
    </row>
    <row r="195" spans="15:24" ht="17.25" customHeight="1" x14ac:dyDescent="0.25">
      <c r="O195" s="2"/>
      <c r="P195" s="2"/>
      <c r="Q195" s="2"/>
      <c r="R195" s="2"/>
      <c r="S195" s="2"/>
      <c r="T195" s="2"/>
      <c r="U195" s="2"/>
      <c r="V195" s="2"/>
      <c r="W195" s="2"/>
      <c r="X195" s="2"/>
    </row>
    <row r="196" spans="15:24" ht="17.25" customHeight="1" x14ac:dyDescent="0.25">
      <c r="O196" s="2"/>
      <c r="P196" s="2"/>
      <c r="Q196" s="2"/>
      <c r="R196" s="2"/>
      <c r="S196" s="2"/>
      <c r="T196" s="2"/>
      <c r="U196" s="2"/>
      <c r="V196" s="2"/>
      <c r="W196" s="2"/>
      <c r="X196" s="2"/>
    </row>
    <row r="197" spans="15:24" ht="17.25" customHeight="1" x14ac:dyDescent="0.25">
      <c r="O197" s="2"/>
      <c r="P197" s="2"/>
      <c r="Q197" s="2"/>
      <c r="R197" s="2"/>
      <c r="S197" s="2"/>
      <c r="T197" s="2"/>
      <c r="U197" s="2"/>
      <c r="V197" s="2"/>
      <c r="W197" s="2"/>
      <c r="X197" s="2"/>
    </row>
    <row r="198" spans="15:24" ht="17.25" customHeight="1" x14ac:dyDescent="0.25">
      <c r="O198" s="2"/>
      <c r="P198" s="2"/>
      <c r="Q198" s="2"/>
      <c r="R198" s="2"/>
      <c r="S198" s="2"/>
      <c r="T198" s="2"/>
      <c r="U198" s="2"/>
      <c r="V198" s="2"/>
      <c r="W198" s="2"/>
      <c r="X198" s="2"/>
    </row>
    <row r="199" spans="15:24" ht="17.25" customHeight="1" x14ac:dyDescent="0.25">
      <c r="O199" s="2"/>
      <c r="P199" s="2"/>
      <c r="Q199" s="2"/>
      <c r="R199" s="2"/>
      <c r="S199" s="2"/>
      <c r="T199" s="2"/>
      <c r="U199" s="2"/>
      <c r="V199" s="2"/>
      <c r="W199" s="2"/>
      <c r="X199" s="2"/>
    </row>
    <row r="200" spans="15:24" ht="17.25" customHeight="1" x14ac:dyDescent="0.25">
      <c r="O200" s="2"/>
      <c r="P200" s="2"/>
      <c r="Q200" s="2"/>
      <c r="R200" s="2"/>
      <c r="S200" s="2"/>
      <c r="T200" s="2"/>
      <c r="U200" s="2"/>
      <c r="V200" s="2"/>
      <c r="W200" s="2"/>
      <c r="X200" s="2"/>
    </row>
    <row r="201" spans="15:24" ht="17.25" customHeight="1" x14ac:dyDescent="0.25">
      <c r="O201" s="2"/>
      <c r="P201" s="2"/>
      <c r="Q201" s="2"/>
      <c r="R201" s="2"/>
      <c r="S201" s="2"/>
      <c r="T201" s="2"/>
      <c r="U201" s="2"/>
      <c r="V201" s="2"/>
      <c r="W201" s="2"/>
      <c r="X201" s="2"/>
    </row>
    <row r="202" spans="15:24" ht="17.25" customHeight="1" x14ac:dyDescent="0.25">
      <c r="O202" s="2"/>
      <c r="P202" s="2"/>
      <c r="Q202" s="2"/>
      <c r="R202" s="2"/>
      <c r="S202" s="2"/>
      <c r="T202" s="2"/>
      <c r="U202" s="2"/>
      <c r="V202" s="2"/>
      <c r="W202" s="2"/>
      <c r="X202" s="2"/>
    </row>
    <row r="203" spans="15:24" ht="17.25" customHeight="1" x14ac:dyDescent="0.25">
      <c r="O203" s="2"/>
      <c r="P203" s="2"/>
      <c r="Q203" s="2"/>
      <c r="R203" s="2"/>
      <c r="S203" s="2"/>
      <c r="T203" s="2"/>
      <c r="U203" s="2"/>
      <c r="V203" s="2"/>
      <c r="W203" s="2"/>
      <c r="X203" s="2"/>
    </row>
    <row r="204" spans="15:24" ht="17.25" customHeight="1" x14ac:dyDescent="0.25">
      <c r="O204" s="2"/>
      <c r="P204" s="2"/>
      <c r="Q204" s="2"/>
      <c r="R204" s="2"/>
      <c r="S204" s="2"/>
      <c r="T204" s="2"/>
      <c r="U204" s="2"/>
      <c r="V204" s="2"/>
      <c r="W204" s="2"/>
      <c r="X204" s="2"/>
    </row>
    <row r="205" spans="15:24" ht="17.25" customHeight="1" x14ac:dyDescent="0.25">
      <c r="O205" s="2"/>
      <c r="P205" s="2"/>
      <c r="Q205" s="2"/>
      <c r="R205" s="2"/>
      <c r="S205" s="2"/>
      <c r="T205" s="2"/>
      <c r="U205" s="2"/>
      <c r="V205" s="2"/>
      <c r="W205" s="2"/>
      <c r="X205" s="2"/>
    </row>
    <row r="206" spans="15:24" ht="17.25" customHeight="1" x14ac:dyDescent="0.25">
      <c r="O206" s="2"/>
      <c r="P206" s="2"/>
      <c r="Q206" s="2"/>
      <c r="R206" s="2"/>
      <c r="S206" s="2"/>
      <c r="T206" s="2"/>
      <c r="U206" s="2"/>
      <c r="V206" s="2"/>
      <c r="W206" s="2"/>
      <c r="X206" s="2"/>
    </row>
    <row r="207" spans="15:24" ht="17.25" customHeight="1" x14ac:dyDescent="0.25">
      <c r="O207" s="2"/>
      <c r="P207" s="2"/>
      <c r="Q207" s="2"/>
      <c r="R207" s="2"/>
      <c r="S207" s="2"/>
      <c r="T207" s="2"/>
      <c r="U207" s="2"/>
      <c r="V207" s="2"/>
      <c r="W207" s="2"/>
      <c r="X207" s="2"/>
    </row>
    <row r="208" spans="15:24" ht="17.25" customHeight="1" x14ac:dyDescent="0.25">
      <c r="O208" s="2"/>
      <c r="P208" s="2"/>
      <c r="Q208" s="2"/>
      <c r="R208" s="2"/>
      <c r="S208" s="2"/>
      <c r="T208" s="2"/>
      <c r="U208" s="2"/>
      <c r="V208" s="2"/>
      <c r="W208" s="2"/>
      <c r="X208" s="2"/>
    </row>
    <row r="209" spans="15:24" ht="17.25" customHeight="1" x14ac:dyDescent="0.25">
      <c r="O209" s="2"/>
      <c r="P209" s="2"/>
      <c r="Q209" s="2"/>
      <c r="R209" s="2"/>
      <c r="S209" s="2"/>
      <c r="T209" s="2"/>
      <c r="U209" s="2"/>
      <c r="V209" s="2"/>
      <c r="W209" s="2"/>
      <c r="X209" s="2"/>
    </row>
    <row r="210" spans="15:24" ht="17.25" customHeight="1" x14ac:dyDescent="0.25">
      <c r="O210" s="2"/>
      <c r="P210" s="2"/>
      <c r="Q210" s="2"/>
      <c r="R210" s="2"/>
      <c r="S210" s="2"/>
      <c r="T210" s="2"/>
      <c r="U210" s="2"/>
      <c r="V210" s="2"/>
      <c r="W210" s="2"/>
      <c r="X210" s="2"/>
    </row>
    <row r="211" spans="15:24" ht="17.25" customHeight="1" x14ac:dyDescent="0.25">
      <c r="O211" s="2"/>
      <c r="P211" s="2"/>
      <c r="Q211" s="2"/>
      <c r="R211" s="2"/>
      <c r="S211" s="2"/>
      <c r="T211" s="2"/>
      <c r="U211" s="2"/>
      <c r="V211" s="2"/>
      <c r="W211" s="2"/>
      <c r="X211" s="2"/>
    </row>
    <row r="212" spans="15:24" ht="17.25" customHeight="1" x14ac:dyDescent="0.25">
      <c r="O212" s="2"/>
      <c r="P212" s="2"/>
      <c r="Q212" s="2"/>
      <c r="R212" s="2"/>
      <c r="S212" s="2"/>
      <c r="T212" s="2"/>
      <c r="U212" s="2"/>
      <c r="V212" s="2"/>
      <c r="W212" s="2"/>
      <c r="X212" s="2"/>
    </row>
    <row r="213" spans="15:24" ht="17.25" customHeight="1" x14ac:dyDescent="0.25">
      <c r="O213" s="2"/>
      <c r="P213" s="2"/>
      <c r="Q213" s="2"/>
      <c r="R213" s="2"/>
      <c r="S213" s="2"/>
      <c r="T213" s="2"/>
      <c r="U213" s="2"/>
      <c r="V213" s="2"/>
      <c r="W213" s="2"/>
      <c r="X213" s="2"/>
    </row>
  </sheetData>
  <dataValidations count="4">
    <dataValidation type="list" allowBlank="1" showInputMessage="1" showErrorMessage="1" sqref="B2:B82" xr:uid="{00000000-0002-0000-0100-000000000000}">
      <formula1>$B$100:$B$101</formula1>
    </dataValidation>
    <dataValidation type="list" allowBlank="1" showInputMessage="1" showErrorMessage="1" sqref="G2:G82" xr:uid="{00000000-0002-0000-0100-000001000000}">
      <formula1>$G$100:$G$101</formula1>
    </dataValidation>
    <dataValidation type="list" allowBlank="1" showInputMessage="1" showErrorMessage="1" sqref="H2:H82 K2:L82" xr:uid="{00000000-0002-0000-0100-000002000000}">
      <formula1>$H$100:$H$101</formula1>
    </dataValidation>
    <dataValidation type="list" allowBlank="1" showInputMessage="1" showErrorMessage="1" sqref="I2:I82" xr:uid="{00000000-0002-0000-0100-000003000000}">
      <formula1>$I$100:$I$101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"/>
  <sheetViews>
    <sheetView workbookViewId="0"/>
  </sheetViews>
  <sheetFormatPr defaultRowHeight="15" x14ac:dyDescent="0.25"/>
  <sheetData>
    <row r="1" spans="1:1" x14ac:dyDescent="0.25">
      <c r="A1" s="5" t="s">
        <v>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GeneraLambda</vt:lpstr>
      <vt:lpstr>Appendice</vt:lpstr>
      <vt:lpstr>QueryPerCampiTabella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Amedeo Poli</dc:creator>
  <cp:lastModifiedBy>Amedeo Poli</cp:lastModifiedBy>
  <dcterms:created xsi:type="dcterms:W3CDTF">2018-12-29T07:21:03Z</dcterms:created>
  <dcterms:modified xsi:type="dcterms:W3CDTF">2019-01-01T14:46:29Z</dcterms:modified>
</cp:coreProperties>
</file>